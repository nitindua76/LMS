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13_ncr:1_{AC6D3F49-77A4-44FA-AAA2-BFFABA063B73}" xr6:coauthVersionLast="47" xr6:coauthVersionMax="47" xr10:uidLastSave="{00000000-0000-0000-0000-000000000000}"/>
  <bookViews>
    <workbookView xWindow="-16590" yWindow="-16335" windowWidth="29040" windowHeight="15720" xr2:uid="{00000000-000D-0000-FFFF-FFFF00000000}"/>
  </bookViews>
  <sheets>
    <sheet name="Read me" sheetId="1" r:id="rId1"/>
    <sheet name="Assumptions" sheetId="2" r:id="rId2"/>
    <sheet name="Resource Model" sheetId="3" r:id="rId3"/>
    <sheet name="On-Prem Cost" sheetId="4" r:id="rId4"/>
    <sheet name="Cloud Cost" sheetId="5" r:id="rId5"/>
    <sheet name="Comparis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C9" i="5"/>
  <c r="C8" i="5"/>
  <c r="C7" i="5"/>
  <c r="C6" i="5"/>
  <c r="C35" i="4"/>
  <c r="C34" i="4"/>
  <c r="C32" i="4"/>
  <c r="C31" i="4"/>
  <c r="C30" i="4"/>
  <c r="C29" i="4"/>
  <c r="C28" i="4"/>
  <c r="C26" i="4"/>
  <c r="C25" i="4"/>
  <c r="C24" i="4"/>
  <c r="C23" i="4"/>
  <c r="C22" i="4"/>
  <c r="C16" i="4"/>
  <c r="D16" i="4" s="1"/>
  <c r="B16" i="4"/>
  <c r="C14" i="4"/>
  <c r="B14" i="4"/>
  <c r="D14" i="4" s="1"/>
  <c r="C13" i="4"/>
  <c r="D13" i="4"/>
  <c r="C12" i="4"/>
  <c r="B12" i="4"/>
  <c r="D12" i="4" s="1"/>
  <c r="C11" i="4"/>
  <c r="B11" i="4"/>
  <c r="D11" i="4" s="1"/>
  <c r="C10" i="4"/>
  <c r="B22" i="3"/>
  <c r="B21" i="3"/>
  <c r="B20" i="3"/>
  <c r="B19" i="3"/>
  <c r="D16" i="3"/>
  <c r="C10" i="5" s="1"/>
  <c r="C16" i="3"/>
  <c r="B5" i="4" s="1"/>
  <c r="B16" i="3"/>
  <c r="C5" i="5" s="1"/>
  <c r="C12" i="5" s="1"/>
  <c r="C14" i="5" s="1"/>
  <c r="B18" i="5" s="1"/>
  <c r="D15" i="3"/>
  <c r="E15" i="3" s="1"/>
  <c r="C15" i="3"/>
  <c r="B15" i="3"/>
  <c r="D14" i="3"/>
  <c r="E14" i="3" s="1"/>
  <c r="C14" i="3"/>
  <c r="B14" i="3"/>
  <c r="B25" i="6" s="1"/>
  <c r="B19" i="5" l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C18" i="5"/>
  <c r="B4" i="4"/>
  <c r="B6" i="4" s="1"/>
  <c r="B10" i="4" s="1"/>
  <c r="D10" i="4" s="1"/>
  <c r="D15" i="4" s="1"/>
  <c r="E16" i="3"/>
  <c r="D17" i="4" l="1"/>
  <c r="C27" i="4"/>
  <c r="C33" i="4"/>
  <c r="C19" i="5"/>
  <c r="C4" i="6"/>
  <c r="D24" i="4" l="1"/>
  <c r="E24" i="4" s="1"/>
  <c r="D32" i="4"/>
  <c r="E32" i="4" s="1"/>
  <c r="D28" i="4"/>
  <c r="E28" i="4" s="1"/>
  <c r="D25" i="4"/>
  <c r="E25" i="4" s="1"/>
  <c r="D33" i="4"/>
  <c r="E33" i="4" s="1"/>
  <c r="D31" i="4"/>
  <c r="E31" i="4" s="1"/>
  <c r="D26" i="4"/>
  <c r="E26" i="4" s="1"/>
  <c r="D34" i="4"/>
  <c r="E34" i="4" s="1"/>
  <c r="D29" i="4"/>
  <c r="E29" i="4" s="1"/>
  <c r="D30" i="4"/>
  <c r="E30" i="4" s="1"/>
  <c r="D27" i="4"/>
  <c r="E27" i="4" s="1"/>
  <c r="D35" i="4"/>
  <c r="E35" i="4" s="1"/>
  <c r="D21" i="4"/>
  <c r="D22" i="4"/>
  <c r="E22" i="4" s="1"/>
  <c r="D23" i="4"/>
  <c r="E23" i="4" s="1"/>
  <c r="F17" i="4"/>
  <c r="B21" i="4"/>
  <c r="C20" i="5"/>
  <c r="C5" i="6"/>
  <c r="E21" i="4" l="1"/>
  <c r="F21" i="4" s="1"/>
  <c r="B4" i="6"/>
  <c r="F22" i="4"/>
  <c r="C6" i="6"/>
  <c r="C21" i="5"/>
  <c r="C7" i="6" l="1"/>
  <c r="C22" i="5"/>
  <c r="F23" i="4"/>
  <c r="B5" i="6"/>
  <c r="D5" i="6" s="1"/>
  <c r="B20" i="6" a="1"/>
  <c r="B20" i="6" s="1"/>
  <c r="D4" i="6"/>
  <c r="C8" i="6" l="1"/>
  <c r="C23" i="5"/>
  <c r="F24" i="4"/>
  <c r="B6" i="6"/>
  <c r="D6" i="6" s="1"/>
  <c r="F25" i="4" l="1"/>
  <c r="B7" i="6"/>
  <c r="D7" i="6" s="1"/>
  <c r="C9" i="6"/>
  <c r="C24" i="5"/>
  <c r="F26" i="4" l="1"/>
  <c r="B8" i="6"/>
  <c r="D8" i="6" s="1"/>
  <c r="C25" i="5"/>
  <c r="C10" i="6"/>
  <c r="C11" i="6" l="1"/>
  <c r="C26" i="5"/>
  <c r="B9" i="6"/>
  <c r="D9" i="6" s="1"/>
  <c r="F27" i="4"/>
  <c r="C27" i="5" l="1"/>
  <c r="C12" i="6"/>
  <c r="F28" i="4"/>
  <c r="B10" i="6"/>
  <c r="D10" i="6" s="1"/>
  <c r="B11" i="6" l="1"/>
  <c r="D11" i="6" s="1"/>
  <c r="F29" i="4"/>
  <c r="C28" i="5"/>
  <c r="C13" i="6"/>
  <c r="C14" i="6" l="1"/>
  <c r="C29" i="5"/>
  <c r="B12" i="6"/>
  <c r="D12" i="6" s="1"/>
  <c r="F30" i="4"/>
  <c r="F31" i="4" l="1"/>
  <c r="B13" i="6"/>
  <c r="D13" i="6" s="1"/>
  <c r="C15" i="6"/>
  <c r="C30" i="5"/>
  <c r="C16" i="6" l="1"/>
  <c r="C31" i="5"/>
  <c r="F32" i="4"/>
  <c r="B14" i="6"/>
  <c r="D14" i="6" s="1"/>
  <c r="F33" i="4" l="1"/>
  <c r="B15" i="6"/>
  <c r="D15" i="6" s="1"/>
  <c r="C17" i="6"/>
  <c r="C32" i="5"/>
  <c r="B33" i="5" l="1"/>
  <c r="C33" i="5"/>
  <c r="C18" i="6"/>
  <c r="F34" i="4"/>
  <c r="B16" i="6"/>
  <c r="D16" i="6" s="1"/>
  <c r="B17" i="6" l="1"/>
  <c r="D17" i="6" s="1"/>
  <c r="F35" i="4"/>
  <c r="F36" i="4" l="1"/>
  <c r="E36" i="4"/>
  <c r="B18" i="6"/>
  <c r="D18" i="6" s="1"/>
  <c r="B21" i="6" s="1"/>
</calcChain>
</file>

<file path=xl/sharedStrings.xml><?xml version="1.0" encoding="utf-8"?>
<sst xmlns="http://schemas.openxmlformats.org/spreadsheetml/2006/main" count="173" uniqueCount="164">
  <si>
    <t>LMS — Resource &amp; Cost Model</t>
  </si>
  <si>
    <t>How to use: edit ONLY the blue cells on the Assumptions and Resource Model sheets.</t>
  </si>
  <si>
    <t>Everything else (black = formula, green = cross-sheet link) recalculates automatically.</t>
  </si>
  <si>
    <t>Sheets:</t>
  </si>
  <si>
    <t xml:space="preserve">  • Assumptions   — load model, on-prem unit costs, cloud prices, horizon.</t>
  </si>
  <si>
    <t xml:space="preserve">  • Resource Model — per-module vCPU / RAM / storage per node, node counts by stage,</t>
  </si>
  <si>
    <t xml:space="preserve">                     and aggregate vCPU / RAM / storage + peak video bandwidth.</t>
  </si>
  <si>
    <t xml:space="preserve">  • On-Prem Cost  — physical host sizing derived from Full load, CAPEX BoM, 15-yr TCO.</t>
  </si>
  <si>
    <t xml:space="preserve">  • Cloud Cost    — monthly build-up (compute, storage, egress) and 15-yr TCO.</t>
  </si>
  <si>
    <t xml:space="preserve">  • Comparison    — cumulative side-by-side, crossover year, 15-yr saving, pilot note, chart.</t>
  </si>
  <si>
    <t>All figures are INDICATIVE planning estimates (₹ lakh unless noted; USD→INR on Assumptions),</t>
  </si>
  <si>
    <t>to be firmed with vendor quotes. Egress rates: AWS $0.09/GB first 10 TB → $0.05/GB &gt;150 TB;</t>
  </si>
  <si>
    <t>Azure ~$0.087/GB (verified 2026). Internal LAN traffic on-prem carries no egress charge.</t>
  </si>
  <si>
    <t>LMS SIZING &amp; COSTING MODEL  —  ASSUMPTIONS  (edit the blue cells)</t>
  </si>
  <si>
    <t>LOAD MODEL</t>
  </si>
  <si>
    <t>Registered users (workforce)</t>
  </si>
  <si>
    <t>ONGC est. 15–20k</t>
  </si>
  <si>
    <t>Peak concurrent — Full load</t>
  </si>
  <si>
    <t>design target</t>
  </si>
  <si>
    <t>Peak concurrent — Early rollout</t>
  </si>
  <si>
    <t>phased onboarding</t>
  </si>
  <si>
    <t>Peak concurrent — Pilot</t>
  </si>
  <si>
    <t>1–2 departments</t>
  </si>
  <si>
    <t>% streaming video at peak</t>
  </si>
  <si>
    <t>rest read/quiz/navigate</t>
  </si>
  <si>
    <t>Video bitrate (adaptive avg)</t>
  </si>
  <si>
    <t>Mbps, ~720p</t>
  </si>
  <si>
    <t>ON-PREM UNIT COSTS  (₹ lakh)</t>
  </si>
  <si>
    <t>Compute host (2×32c / 512 GB / NVMe)</t>
  </si>
  <si>
    <t>per host</t>
  </si>
  <si>
    <t>GPU host (24 GB GPU, transcode+LLM)</t>
  </si>
  <si>
    <t>Storage subsystem (object + fast tier)</t>
  </si>
  <si>
    <t>~48 TB raw</t>
  </si>
  <si>
    <t>Networking + firewalls (redundant 25/40G)</t>
  </si>
  <si>
    <t>HA fabric</t>
  </si>
  <si>
    <t>Racks / PDU / cabling (0 if reusing DC)</t>
  </si>
  <si>
    <t>Software (OS support, backup, WAF, mon.)</t>
  </si>
  <si>
    <t>one-time</t>
  </si>
  <si>
    <t>Annual OPEX (power, cooling, AMC, ops)</t>
  </si>
  <si>
    <t>per year</t>
  </si>
  <si>
    <t>Hardware refresh cycle</t>
  </si>
  <si>
    <t>years</t>
  </si>
  <si>
    <t>Refresh cost (% of initial hardware)</t>
  </si>
  <si>
    <t>prices fall over time</t>
  </si>
  <si>
    <t>HA spare compute hosts (N+1 etc.)</t>
  </si>
  <si>
    <t>resilience + DB isolation</t>
  </si>
  <si>
    <t>Effective vCPU per host</t>
  </si>
  <si>
    <t>64 cores, mixed overcommit</t>
  </si>
  <si>
    <t>Usable RAM per host</t>
  </si>
  <si>
    <t>GB</t>
  </si>
  <si>
    <t>CLOUD PRICES  (AWS/Azure, 2026)</t>
  </si>
  <si>
    <t>General compute (reserved)</t>
  </si>
  <si>
    <t>USD / vCPU-hr</t>
  </si>
  <si>
    <t>Database compute (managed, multi-AZ)</t>
  </si>
  <si>
    <t>Object storage</t>
  </si>
  <si>
    <t>USD / GB-mo (S3)</t>
  </si>
  <si>
    <t>Block storage (NVMe-class)</t>
  </si>
  <si>
    <t>USD / GB-mo (EBS gp3)</t>
  </si>
  <si>
    <t>Egress — blended</t>
  </si>
  <si>
    <t>USD / GB (AWS 0.09→0.05 tiered)</t>
  </si>
  <si>
    <t>Avg egress at full load</t>
  </si>
  <si>
    <t>TB / month</t>
  </si>
  <si>
    <t>GPU instance</t>
  </si>
  <si>
    <t>USD / month (batch)</t>
  </si>
  <si>
    <t>Managed svc + load balancers</t>
  </si>
  <si>
    <t>USD / month</t>
  </si>
  <si>
    <t>Hours per month</t>
  </si>
  <si>
    <t>USD → INR</t>
  </si>
  <si>
    <t>exchange rate</t>
  </si>
  <si>
    <t>HORIZON</t>
  </si>
  <si>
    <t>Analysis horizon</t>
  </si>
  <si>
    <t>Cloud annual growth (content+egress+heads)</t>
  </si>
  <si>
    <t>compounding</t>
  </si>
  <si>
    <t>RESOURCE CONSUMPTION BY MODULE  —  PILOT → EARLY → FULL LOAD</t>
  </si>
  <si>
    <t>Module</t>
  </si>
  <si>
    <t>Prod vCPU /node</t>
  </si>
  <si>
    <t>Prod RAM /node (GB)</t>
  </si>
  <si>
    <t>Prod Storage /node (GB)</t>
  </si>
  <si>
    <t>Pilot vCPU /node</t>
  </si>
  <si>
    <t>Pilot RAM /node (GB)</t>
  </si>
  <si>
    <t>Pilot Storage /node (GB)</t>
  </si>
  <si>
    <t>Pilot nodes</t>
  </si>
  <si>
    <t>Early nodes</t>
  </si>
  <si>
    <t>Full nodes</t>
  </si>
  <si>
    <t>Reverse proxy / WAF</t>
  </si>
  <si>
    <t>App servers (FastAPI)</t>
  </si>
  <si>
    <t>Media / cache (Nginx)</t>
  </si>
  <si>
    <t>PostgreSQL (pri + replica)</t>
  </si>
  <si>
    <t>Redis (cache/session/queue)</t>
  </si>
  <si>
    <t>Object storage (MinIO)</t>
  </si>
  <si>
    <t>GPU / batch worker</t>
  </si>
  <si>
    <t>Observability (metrics/logs)</t>
  </si>
  <si>
    <t>AGGREGATE totals →</t>
  </si>
  <si>
    <t>vCPU</t>
  </si>
  <si>
    <t>RAM (GB)</t>
  </si>
  <si>
    <t>Storage (GB)</t>
  </si>
  <si>
    <t>Storage (TB)</t>
  </si>
  <si>
    <t>Pilot  (~500 concurrent)</t>
  </si>
  <si>
    <t>Early  (~3,000 concurrent)</t>
  </si>
  <si>
    <t>Full  (~10,000 concurrent)</t>
  </si>
  <si>
    <t>PEAK VIDEO BANDWIDTH</t>
  </si>
  <si>
    <t>Pilot (Gbps)</t>
  </si>
  <si>
    <t>Early (Gbps)</t>
  </si>
  <si>
    <t>Full — realistic peak (Gbps)</t>
  </si>
  <si>
    <t>Full — ceiling if ALL stream (Gbps)</t>
  </si>
  <si>
    <t>Internal video rides the LAN (25/40 GbE) at zero cost; only home users consume metered internet egress.</t>
  </si>
  <si>
    <t>ON-PREMISE COST  —  CAPEX + 15-YEAR OPEX  (₹ lakh)</t>
  </si>
  <si>
    <t>PHYSICAL SIZING (derived from Full load, excl. storage &amp; GPU hosts)</t>
  </si>
  <si>
    <t>Compute-pool vCPU (Full − object − GPU)</t>
  </si>
  <si>
    <t>Compute-pool RAM (GB)</t>
  </si>
  <si>
    <t>Min compute hosts = MAX(vCPU/eff, RAM/host) + spare</t>
  </si>
  <si>
    <t>INITIAL CAPEX</t>
  </si>
  <si>
    <t>Item</t>
  </si>
  <si>
    <t>Qty</t>
  </si>
  <si>
    <t>Unit ₹L</t>
  </si>
  <si>
    <t>Amount ₹L</t>
  </si>
  <si>
    <t>Compute hosts</t>
  </si>
  <si>
    <t>GPU host</t>
  </si>
  <si>
    <t>Storage subsystem</t>
  </si>
  <si>
    <t>Networking + firewalls</t>
  </si>
  <si>
    <t>Racks / PDU / cabling</t>
  </si>
  <si>
    <t>Hardware subtotal</t>
  </si>
  <si>
    <t>Software (one-time)</t>
  </si>
  <si>
    <t>INITIAL CAPEX (₹ lakh)</t>
  </si>
  <si>
    <t>15-YEAR TOTAL COST OF OWNERSHIP  (₹ lakh)</t>
  </si>
  <si>
    <t>Year</t>
  </si>
  <si>
    <t>CapEx</t>
  </si>
  <si>
    <t>Refresh</t>
  </si>
  <si>
    <t>OpEx</t>
  </si>
  <si>
    <t>Annual</t>
  </si>
  <si>
    <t>Cumulative</t>
  </si>
  <si>
    <t>15-yr total</t>
  </si>
  <si>
    <t>PUBLIC CLOUD COST  —  MONTHLY BUILD-UP + 15-YEAR TCO</t>
  </si>
  <si>
    <t>MONTHLY COST AT FULL LOAD  (USD)</t>
  </si>
  <si>
    <t>Component</t>
  </si>
  <si>
    <t>Basis</t>
  </si>
  <si>
    <t>General compute</t>
  </si>
  <si>
    <t>(total − DB − GPU − object) vCPU × rate × hrs</t>
  </si>
  <si>
    <t>Database compute</t>
  </si>
  <si>
    <t>DB vCPU × managed rate × hrs</t>
  </si>
  <si>
    <t>GPU / batch</t>
  </si>
  <si>
    <t>flat batch instance</t>
  </si>
  <si>
    <t>flat</t>
  </si>
  <si>
    <t>object GB × rate</t>
  </si>
  <si>
    <t>Block storage</t>
  </si>
  <si>
    <t>(total − object) GB × rate</t>
  </si>
  <si>
    <t>Egress</t>
  </si>
  <si>
    <t>avg TB × 1024 × $/GB</t>
  </si>
  <si>
    <t>TOTAL / month (USD)</t>
  </si>
  <si>
    <t>Annual (₹ lakh)  = monthly × 12 × INR / 1e5</t>
  </si>
  <si>
    <t>15-YEAR TCO  (₹ lakh, with annual growth)</t>
  </si>
  <si>
    <t>Annual ₹L</t>
  </si>
  <si>
    <t>Cumulative ₹L</t>
  </si>
  <si>
    <t>ON-PREM vs CLOUD  —  15-YEAR CUMULATIVE  (₹ lakh)</t>
  </si>
  <si>
    <t>On-Prem cum.</t>
  </si>
  <si>
    <t>Cloud cum.</t>
  </si>
  <si>
    <t>Cloud − On-Prem</t>
  </si>
  <si>
    <t>Crossover (first year on-prem cheaper)</t>
  </si>
  <si>
    <t>15-year saving with on-prem (₹ crore)</t>
  </si>
  <si>
    <t>PILOT (1 month) — where cloud actually wins</t>
  </si>
  <si>
    <t>On-prem pilot (reuse spare DC capacity)</t>
  </si>
  <si>
    <t>≈ ₹0–0.5 cr</t>
  </si>
  <si>
    <t>Cloud pilot — 1 month (~500 concurrent)</t>
  </si>
  <si>
    <t>Recommendation: pilot cheap+fast on cloud → move to on-prem for full scale (payback ~2 yrs).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</si>
</sst>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0.000"/>
    <numFmt numFmtId="166" formatCode="#,##0.0"/>
    <numFmt numFmtId="167" formatCode="0.00&quot; cr&quot;"/>
    <numFmt numFmtId="168" formatCode="#,##0.0;\(#,##0.0\);\-"/>
    <numFmt numFmtId="169" formatCode="0.0&quot; cr&quot;"/>
    <numFmt numFmtId="170" formatCode="\$#,##0"/>
    <numFmt numFmtId="171" formatCode="#,##0.0;\(#,##0.0\)"/>
    <numFmt numFmtId="172" formatCode="0&quot; yr&quot;"/>
    <numFmt numFmtId="173" formatCode="#,##0.0&quot; ₹L&quot;"/>
  </numFmts>
  <fonts count="20" x14ac:knownFonts="1">
    <font>
      <sz val="11"/>
      <color theme="1"/>
      <name val="Calibri"/>
      <scheme val="minor"/>
    </font>
    <font>
      <b/>
      <sz val="16"/>
      <color rgb="FF0F2A43"/>
      <name val="Arial"/>
    </font>
    <font>
      <sz val="10"/>
      <color rgb="FF1E293B"/>
      <name val="Arial"/>
    </font>
    <font>
      <b/>
      <sz val="10"/>
      <color rgb="FF1E293B"/>
      <name val="Arial"/>
    </font>
    <font>
      <b/>
      <sz val="10"/>
      <color rgb="FF0F2A43"/>
      <name val="Arial"/>
    </font>
    <font>
      <b/>
      <sz val="16"/>
      <color rgb="FFFFFFFF"/>
      <name val="Arial"/>
    </font>
    <font>
      <sz val="11"/>
      <name val="Calibri"/>
    </font>
    <font>
      <b/>
      <sz val="11"/>
      <color rgb="FFFFFFFF"/>
      <name val="Arial"/>
    </font>
    <font>
      <b/>
      <sz val="10"/>
      <color rgb="FF0000FF"/>
      <name val="Arial"/>
    </font>
    <font>
      <i/>
      <sz val="9"/>
      <color rgb="FF64748B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1E7A46"/>
      <name val="Arial"/>
    </font>
    <font>
      <sz val="10"/>
      <color rgb="FF000000"/>
      <name val="Arial"/>
    </font>
    <font>
      <b/>
      <sz val="10"/>
      <color theme="1"/>
      <name val="Arial"/>
    </font>
    <font>
      <sz val="11"/>
      <color theme="1"/>
      <name val="Calibri"/>
    </font>
    <font>
      <b/>
      <sz val="10"/>
      <color rgb="FF1E7A46"/>
      <name val="Arial"/>
    </font>
    <font>
      <sz val="10"/>
      <color theme="1"/>
      <name val="Arial"/>
    </font>
    <font>
      <b/>
      <sz val="11"/>
      <color rgb="FF1E7A46"/>
      <name val="Arial"/>
    </font>
    <font>
      <i/>
      <sz val="9"/>
      <color rgb="FF16405C"/>
      <name val="Arial"/>
    </font>
  </fonts>
  <fills count="8">
    <fill>
      <patternFill patternType="none"/>
    </fill>
    <fill>
      <patternFill patternType="gray125"/>
    </fill>
    <fill>
      <patternFill patternType="solid">
        <fgColor rgb="FF0F2A43"/>
        <bgColor rgb="FF0F2A43"/>
      </patternFill>
    </fill>
    <fill>
      <patternFill patternType="solid">
        <fgColor rgb="FF16405C"/>
        <bgColor rgb="FF16405C"/>
      </patternFill>
    </fill>
    <fill>
      <patternFill patternType="solid">
        <fgColor rgb="FFFFFDE7"/>
        <bgColor rgb="FFFFFDE7"/>
      </patternFill>
    </fill>
    <fill>
      <patternFill patternType="solid">
        <fgColor rgb="FFEEF3F7"/>
        <bgColor rgb="FFEEF3F7"/>
      </patternFill>
    </fill>
    <fill>
      <patternFill patternType="solid">
        <fgColor rgb="FFE08A1E"/>
        <bgColor rgb="FFE08A1E"/>
      </patternFill>
    </fill>
    <fill>
      <patternFill patternType="solid">
        <fgColor rgb="FFFFFF00"/>
        <bgColor rgb="FFFFFDE7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9D4DE"/>
      </left>
      <right style="thin">
        <color rgb="FFC9D4DE"/>
      </right>
      <top style="thin">
        <color rgb="FFC9D4DE"/>
      </top>
      <bottom style="thin">
        <color rgb="FFC9D4DE"/>
      </bottom>
      <diagonal/>
    </border>
    <border>
      <left/>
      <right/>
      <top/>
      <bottom style="thin">
        <color rgb="FFC9D4D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9D4DE"/>
      </right>
      <top style="thin">
        <color rgb="FFC9D4DE"/>
      </top>
      <bottom style="thin">
        <color rgb="FFC9D4DE"/>
      </bottom>
      <diagonal/>
    </border>
    <border>
      <left style="thin">
        <color rgb="FFC9D4DE"/>
      </left>
      <right style="medium">
        <color indexed="64"/>
      </right>
      <top style="thin">
        <color rgb="FFC9D4DE"/>
      </top>
      <bottom style="thin">
        <color rgb="FFC9D4DE"/>
      </bottom>
      <diagonal/>
    </border>
    <border>
      <left style="medium">
        <color indexed="64"/>
      </left>
      <right/>
      <top/>
      <bottom style="thin">
        <color rgb="FFC9D4DE"/>
      </bottom>
      <diagonal/>
    </border>
    <border>
      <left/>
      <right style="medium">
        <color indexed="64"/>
      </right>
      <top/>
      <bottom style="thin">
        <color rgb="FFC9D4DE"/>
      </bottom>
      <diagonal/>
    </border>
    <border>
      <left style="medium">
        <color indexed="64"/>
      </left>
      <right style="thin">
        <color rgb="FFC9D4DE"/>
      </right>
      <top style="thin">
        <color rgb="FFC9D4DE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C9D4DE"/>
      </left>
      <right style="medium">
        <color indexed="64"/>
      </right>
      <top style="thin">
        <color rgb="FFC9D4DE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3" fontId="8" fillId="4" borderId="4" xfId="0" applyNumberFormat="1" applyFont="1" applyFill="1" applyBorder="1" applyAlignment="1">
      <alignment horizontal="right" vertical="center"/>
    </xf>
    <xf numFmtId="0" fontId="9" fillId="0" borderId="0" xfId="0" applyFont="1"/>
    <xf numFmtId="9" fontId="8" fillId="4" borderId="4" xfId="0" applyNumberFormat="1" applyFont="1" applyFill="1" applyBorder="1" applyAlignment="1">
      <alignment horizontal="right" vertical="center"/>
    </xf>
    <xf numFmtId="164" fontId="8" fillId="4" borderId="4" xfId="0" applyNumberFormat="1" applyFont="1" applyFill="1" applyBorder="1" applyAlignment="1">
      <alignment horizontal="right" vertical="center"/>
    </xf>
    <xf numFmtId="1" fontId="8" fillId="4" borderId="4" xfId="0" applyNumberFormat="1" applyFont="1" applyFill="1" applyBorder="1" applyAlignment="1">
      <alignment horizontal="right" vertical="center"/>
    </xf>
    <xf numFmtId="165" fontId="8" fillId="4" borderId="4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center" vertical="center" wrapText="1"/>
    </xf>
    <xf numFmtId="3" fontId="8" fillId="4" borderId="5" xfId="0" applyNumberFormat="1" applyFont="1" applyFill="1" applyBorder="1" applyAlignment="1">
      <alignment horizontal="right" vertical="center"/>
    </xf>
    <xf numFmtId="0" fontId="10" fillId="3" borderId="4" xfId="0" applyFont="1" applyFill="1" applyBorder="1" applyAlignment="1">
      <alignment horizontal="left" vertical="center"/>
    </xf>
    <xf numFmtId="3" fontId="11" fillId="5" borderId="4" xfId="0" applyNumberFormat="1" applyFont="1" applyFill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1" fontId="11" fillId="0" borderId="0" xfId="0" applyNumberFormat="1" applyFont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1" fontId="13" fillId="0" borderId="5" xfId="0" applyNumberFormat="1" applyFont="1" applyBorder="1" applyAlignment="1">
      <alignment horizontal="right" vertical="center"/>
    </xf>
    <xf numFmtId="164" fontId="12" fillId="0" borderId="5" xfId="0" applyNumberFormat="1" applyFont="1" applyBorder="1" applyAlignment="1">
      <alignment horizontal="right" vertical="center"/>
    </xf>
    <xf numFmtId="166" fontId="11" fillId="0" borderId="5" xfId="0" applyNumberFormat="1" applyFont="1" applyBorder="1" applyAlignment="1">
      <alignment horizontal="right" vertical="center"/>
    </xf>
    <xf numFmtId="0" fontId="14" fillId="0" borderId="0" xfId="0" applyFont="1"/>
    <xf numFmtId="0" fontId="10" fillId="6" borderId="5" xfId="0" applyFont="1" applyFill="1" applyBorder="1" applyAlignment="1">
      <alignment horizontal="left" vertical="center"/>
    </xf>
    <xf numFmtId="0" fontId="15" fillId="6" borderId="4" xfId="0" applyFont="1" applyFill="1" applyBorder="1"/>
    <xf numFmtId="166" fontId="10" fillId="6" borderId="5" xfId="0" applyNumberFormat="1" applyFont="1" applyFill="1" applyBorder="1" applyAlignment="1">
      <alignment horizontal="right" vertical="center"/>
    </xf>
    <xf numFmtId="167" fontId="16" fillId="0" borderId="0" xfId="0" applyNumberFormat="1" applyFont="1"/>
    <xf numFmtId="1" fontId="17" fillId="0" borderId="5" xfId="0" applyNumberFormat="1" applyFont="1" applyBorder="1" applyAlignment="1">
      <alignment horizontal="center" vertical="center"/>
    </xf>
    <xf numFmtId="168" fontId="13" fillId="0" borderId="5" xfId="0" applyNumberFormat="1" applyFont="1" applyBorder="1" applyAlignment="1">
      <alignment horizontal="right" vertical="center"/>
    </xf>
    <xf numFmtId="166" fontId="12" fillId="0" borderId="5" xfId="0" applyNumberFormat="1" applyFont="1" applyBorder="1" applyAlignment="1">
      <alignment horizontal="right" vertical="center"/>
    </xf>
    <xf numFmtId="169" fontId="10" fillId="6" borderId="4" xfId="0" applyNumberFormat="1" applyFont="1" applyFill="1" applyBorder="1" applyAlignment="1">
      <alignment horizontal="right" vertical="center"/>
    </xf>
    <xf numFmtId="0" fontId="9" fillId="0" borderId="5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71" fontId="11" fillId="0" borderId="5" xfId="0" applyNumberFormat="1" applyFont="1" applyBorder="1" applyAlignment="1">
      <alignment horizontal="right" vertical="center"/>
    </xf>
    <xf numFmtId="172" fontId="11" fillId="0" borderId="0" xfId="0" applyNumberFormat="1" applyFont="1" applyAlignment="1">
      <alignment horizontal="right" vertical="center"/>
    </xf>
    <xf numFmtId="164" fontId="18" fillId="0" borderId="0" xfId="0" applyNumberFormat="1" applyFont="1"/>
    <xf numFmtId="0" fontId="13" fillId="0" borderId="0" xfId="0" applyFont="1"/>
    <xf numFmtId="173" fontId="11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7" fillId="3" borderId="1" xfId="0" applyFont="1" applyFill="1" applyBorder="1" applyAlignment="1">
      <alignment horizontal="left" vertical="center"/>
    </xf>
    <xf numFmtId="0" fontId="9" fillId="0" borderId="0" xfId="0" applyFont="1"/>
    <xf numFmtId="0" fontId="0" fillId="0" borderId="0" xfId="0"/>
    <xf numFmtId="0" fontId="19" fillId="0" borderId="0" xfId="0" applyFont="1"/>
    <xf numFmtId="3" fontId="8" fillId="7" borderId="4" xfId="0" applyNumberFormat="1" applyFont="1" applyFill="1" applyBorder="1" applyAlignment="1">
      <alignment horizontal="right" vertical="center"/>
    </xf>
    <xf numFmtId="9" fontId="0" fillId="0" borderId="0" xfId="0" applyNumberFormat="1"/>
    <xf numFmtId="0" fontId="7" fillId="3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7" fillId="3" borderId="10" xfId="0" applyFont="1" applyFill="1" applyBorder="1" applyAlignment="1">
      <alignment horizontal="left" vertical="center"/>
    </xf>
    <xf numFmtId="0" fontId="6" fillId="0" borderId="4" xfId="0" applyFont="1" applyBorder="1"/>
    <xf numFmtId="0" fontId="6" fillId="0" borderId="11" xfId="0" applyFont="1" applyBorder="1"/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170" fontId="11" fillId="0" borderId="13" xfId="0" applyNumberFormat="1" applyFont="1" applyBorder="1" applyAlignment="1">
      <alignment horizontal="right" vertical="center"/>
    </xf>
    <xf numFmtId="0" fontId="10" fillId="6" borderId="12" xfId="0" applyFont="1" applyFill="1" applyBorder="1" applyAlignment="1">
      <alignment horizontal="left" vertical="center"/>
    </xf>
    <xf numFmtId="170" fontId="10" fillId="6" borderId="13" xfId="0" applyNumberFormat="1" applyFont="1" applyFill="1" applyBorder="1" applyAlignment="1">
      <alignment horizontal="right" vertical="center"/>
    </xf>
    <xf numFmtId="0" fontId="14" fillId="0" borderId="10" xfId="0" applyFont="1" applyBorder="1" applyAlignment="1">
      <alignment horizontal="left" vertical="center"/>
    </xf>
    <xf numFmtId="166" fontId="11" fillId="5" borderId="11" xfId="0" applyNumberFormat="1" applyFont="1" applyFill="1" applyBorder="1" applyAlignment="1">
      <alignment horizontal="right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166" fontId="11" fillId="0" borderId="13" xfId="0" applyNumberFormat="1" applyFont="1" applyBorder="1" applyAlignment="1">
      <alignment horizontal="right" vertical="center"/>
    </xf>
    <xf numFmtId="0" fontId="10" fillId="6" borderId="16" xfId="0" applyFont="1" applyFill="1" applyBorder="1" applyAlignment="1">
      <alignment horizontal="left" vertical="center"/>
    </xf>
    <xf numFmtId="169" fontId="10" fillId="6" borderId="17" xfId="0" applyNumberFormat="1" applyFont="1" applyFill="1" applyBorder="1" applyAlignment="1">
      <alignment horizontal="right" vertical="center"/>
    </xf>
    <xf numFmtId="166" fontId="10" fillId="6" borderId="1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15-Year Cumulative Cost (₹ lakh)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On-Prem cum.</c:v>
          </c:tx>
          <c:spPr>
            <a:ln w="19050" cmpd="sng">
              <a:solidFill>
                <a:srgbClr val="0F2A43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Comparison!$A$4:$A$18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Comparison!$B$4:$B$18</c:f>
              <c:numCache>
                <c:formatCode>#,##0.0</c:formatCode>
                <c:ptCount val="15"/>
                <c:pt idx="0">
                  <c:v>147.4</c:v>
                </c:pt>
                <c:pt idx="1">
                  <c:v>160.80000000000001</c:v>
                </c:pt>
                <c:pt idx="2">
                  <c:v>174.20000000000002</c:v>
                </c:pt>
                <c:pt idx="3">
                  <c:v>187.60000000000002</c:v>
                </c:pt>
                <c:pt idx="4">
                  <c:v>201.00000000000003</c:v>
                </c:pt>
                <c:pt idx="5">
                  <c:v>214.40000000000003</c:v>
                </c:pt>
                <c:pt idx="6">
                  <c:v>299.20000000000005</c:v>
                </c:pt>
                <c:pt idx="7">
                  <c:v>312.60000000000002</c:v>
                </c:pt>
                <c:pt idx="8">
                  <c:v>326</c:v>
                </c:pt>
                <c:pt idx="9">
                  <c:v>339.4</c:v>
                </c:pt>
                <c:pt idx="10">
                  <c:v>352.79999999999995</c:v>
                </c:pt>
                <c:pt idx="11">
                  <c:v>366.19999999999993</c:v>
                </c:pt>
                <c:pt idx="12">
                  <c:v>450.99999999999994</c:v>
                </c:pt>
                <c:pt idx="13">
                  <c:v>464.39999999999992</c:v>
                </c:pt>
                <c:pt idx="14">
                  <c:v>477.7999999999999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A3-4883-928C-415FCBA6A708}"/>
            </c:ext>
          </c:extLst>
        </c:ser>
        <c:ser>
          <c:idx val="1"/>
          <c:order val="1"/>
          <c:tx>
            <c:v>Cloud cum.</c:v>
          </c:tx>
          <c:spPr>
            <a:ln w="19050" cmpd="sng">
              <a:solidFill>
                <a:srgbClr val="E08A1E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Comparison!$A$4:$A$18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Comparison!$C$4:$C$18</c:f>
              <c:numCache>
                <c:formatCode>#,##0.0</c:formatCode>
                <c:ptCount val="15"/>
                <c:pt idx="0">
                  <c:v>136.60044000000002</c:v>
                </c:pt>
                <c:pt idx="1">
                  <c:v>277.29889320000007</c:v>
                </c:pt>
                <c:pt idx="2">
                  <c:v>422.2182999960001</c:v>
                </c:pt>
                <c:pt idx="3">
                  <c:v>571.48528899588018</c:v>
                </c:pt>
                <c:pt idx="4">
                  <c:v>725.23028766575658</c:v>
                </c:pt>
                <c:pt idx="5">
                  <c:v>883.58763629572934</c:v>
                </c:pt>
                <c:pt idx="6">
                  <c:v>1046.6957053846013</c:v>
                </c:pt>
                <c:pt idx="7">
                  <c:v>1214.6970165461394</c:v>
                </c:pt>
                <c:pt idx="8">
                  <c:v>1387.7383670425236</c:v>
                </c:pt>
                <c:pt idx="9">
                  <c:v>1565.9709580537992</c:v>
                </c:pt>
                <c:pt idx="10">
                  <c:v>1749.5505267954131</c:v>
                </c:pt>
                <c:pt idx="11">
                  <c:v>1938.6374825992757</c:v>
                </c:pt>
                <c:pt idx="12">
                  <c:v>2133.3970470772542</c:v>
                </c:pt>
                <c:pt idx="13">
                  <c:v>2333.9993984895718</c:v>
                </c:pt>
                <c:pt idx="14">
                  <c:v>2540.6198204442589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AA3-4883-928C-415FCBA6A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518908"/>
        <c:axId val="1757616272"/>
      </c:lineChart>
      <c:catAx>
        <c:axId val="483518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7616272"/>
        <c:crosses val="autoZero"/>
        <c:auto val="1"/>
        <c:lblAlgn val="ctr"/>
        <c:lblOffset val="100"/>
        <c:noMultiLvlLbl val="1"/>
      </c:catAx>
      <c:valAx>
        <c:axId val="1757616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i="0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</c:title>
        <c:numFmt formatCode="#,##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5189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</xdr:colOff>
      <xdr:row>1</xdr:row>
      <xdr:rowOff>163830</xdr:rowOff>
    </xdr:from>
    <xdr:ext cx="5810250" cy="3209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tabSelected="1" workbookViewId="0"/>
  </sheetViews>
  <sheetFormatPr defaultColWidth="14.44140625" defaultRowHeight="15" customHeight="1" x14ac:dyDescent="0.3"/>
  <cols>
    <col min="1" max="1" width="100" customWidth="1"/>
    <col min="2" max="26" width="8.6640625" customWidth="1"/>
  </cols>
  <sheetData>
    <row r="1" spans="1:1" ht="21" x14ac:dyDescent="0.4">
      <c r="A1" s="1" t="s">
        <v>0</v>
      </c>
    </row>
    <row r="3" spans="1:1" ht="14.4" x14ac:dyDescent="0.3">
      <c r="A3" s="2"/>
    </row>
    <row r="4" spans="1:1" ht="14.4" x14ac:dyDescent="0.3">
      <c r="A4" s="3" t="s">
        <v>1</v>
      </c>
    </row>
    <row r="5" spans="1:1" ht="14.4" x14ac:dyDescent="0.3">
      <c r="A5" s="2" t="s">
        <v>2</v>
      </c>
    </row>
    <row r="6" spans="1:1" ht="14.4" x14ac:dyDescent="0.3">
      <c r="A6" s="2"/>
    </row>
    <row r="7" spans="1:1" ht="14.4" x14ac:dyDescent="0.3">
      <c r="A7" s="4" t="s">
        <v>3</v>
      </c>
    </row>
    <row r="8" spans="1:1" ht="14.4" x14ac:dyDescent="0.3">
      <c r="A8" s="2" t="s">
        <v>4</v>
      </c>
    </row>
    <row r="9" spans="1:1" ht="14.4" x14ac:dyDescent="0.3">
      <c r="A9" s="2" t="s">
        <v>5</v>
      </c>
    </row>
    <row r="10" spans="1:1" ht="14.4" x14ac:dyDescent="0.3">
      <c r="A10" s="2" t="s">
        <v>6</v>
      </c>
    </row>
    <row r="11" spans="1:1" ht="14.4" x14ac:dyDescent="0.3">
      <c r="A11" s="2" t="s">
        <v>7</v>
      </c>
    </row>
    <row r="12" spans="1:1" ht="14.4" x14ac:dyDescent="0.3">
      <c r="A12" s="2" t="s">
        <v>8</v>
      </c>
    </row>
    <row r="13" spans="1:1" ht="14.4" x14ac:dyDescent="0.3">
      <c r="A13" s="2" t="s">
        <v>9</v>
      </c>
    </row>
    <row r="14" spans="1:1" ht="14.4" x14ac:dyDescent="0.3">
      <c r="A14" s="2"/>
    </row>
    <row r="15" spans="1:1" ht="14.4" x14ac:dyDescent="0.3">
      <c r="A15" s="2" t="s">
        <v>10</v>
      </c>
    </row>
    <row r="16" spans="1:1" ht="14.4" x14ac:dyDescent="0.3">
      <c r="A16" s="2" t="s">
        <v>11</v>
      </c>
    </row>
    <row r="17" spans="1:1" ht="14.4" x14ac:dyDescent="0.3">
      <c r="A17" s="2" t="s">
        <v>12</v>
      </c>
    </row>
    <row r="21" spans="1:1" ht="15.75" customHeight="1" x14ac:dyDescent="0.3"/>
    <row r="22" spans="1:1" ht="15.75" customHeight="1" x14ac:dyDescent="0.3"/>
    <row r="23" spans="1:1" ht="15.75" customHeight="1" x14ac:dyDescent="0.3"/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showGridLines="0" workbookViewId="0">
      <selection activeCell="E4" sqref="E4"/>
    </sheetView>
  </sheetViews>
  <sheetFormatPr defaultColWidth="14.44140625" defaultRowHeight="15" customHeight="1" x14ac:dyDescent="0.3"/>
  <cols>
    <col min="1" max="1" width="38.5546875" bestFit="1" customWidth="1"/>
    <col min="2" max="2" width="6.5546875" bestFit="1" customWidth="1"/>
    <col min="3" max="3" width="28" bestFit="1" customWidth="1"/>
    <col min="4" max="26" width="8.6640625" customWidth="1"/>
  </cols>
  <sheetData>
    <row r="1" spans="1:3" ht="21" x14ac:dyDescent="0.3">
      <c r="A1" s="40" t="s">
        <v>13</v>
      </c>
      <c r="B1" s="41"/>
      <c r="C1" s="42"/>
    </row>
    <row r="3" spans="1:3" ht="14.4" x14ac:dyDescent="0.3">
      <c r="A3" s="43" t="s">
        <v>14</v>
      </c>
      <c r="B3" s="41"/>
      <c r="C3" s="42"/>
    </row>
    <row r="4" spans="1:3" ht="14.4" x14ac:dyDescent="0.3">
      <c r="A4" s="5" t="s">
        <v>15</v>
      </c>
      <c r="B4" s="6">
        <v>20000</v>
      </c>
      <c r="C4" s="7" t="s">
        <v>16</v>
      </c>
    </row>
    <row r="5" spans="1:3" ht="14.4" x14ac:dyDescent="0.3">
      <c r="A5" s="5" t="s">
        <v>17</v>
      </c>
      <c r="B5" s="6">
        <v>10000</v>
      </c>
      <c r="C5" s="7" t="s">
        <v>18</v>
      </c>
    </row>
    <row r="6" spans="1:3" ht="14.4" x14ac:dyDescent="0.3">
      <c r="A6" s="5" t="s">
        <v>19</v>
      </c>
      <c r="B6" s="6">
        <v>3000</v>
      </c>
      <c r="C6" s="7" t="s">
        <v>20</v>
      </c>
    </row>
    <row r="7" spans="1:3" ht="14.4" x14ac:dyDescent="0.3">
      <c r="A7" s="5" t="s">
        <v>21</v>
      </c>
      <c r="B7" s="6">
        <v>500</v>
      </c>
      <c r="C7" s="7" t="s">
        <v>22</v>
      </c>
    </row>
    <row r="8" spans="1:3" ht="14.4" x14ac:dyDescent="0.3">
      <c r="A8" s="5" t="s">
        <v>23</v>
      </c>
      <c r="B8" s="8">
        <v>0.4</v>
      </c>
      <c r="C8" s="7" t="s">
        <v>24</v>
      </c>
    </row>
    <row r="9" spans="1:3" ht="14.4" x14ac:dyDescent="0.3">
      <c r="A9" s="5" t="s">
        <v>25</v>
      </c>
      <c r="B9" s="9">
        <v>2</v>
      </c>
      <c r="C9" s="7" t="s">
        <v>26</v>
      </c>
    </row>
    <row r="11" spans="1:3" ht="14.4" x14ac:dyDescent="0.3">
      <c r="A11" s="43" t="s">
        <v>27</v>
      </c>
      <c r="B11" s="41"/>
      <c r="C11" s="42"/>
    </row>
    <row r="12" spans="1:3" ht="14.4" x14ac:dyDescent="0.3">
      <c r="A12" s="5" t="s">
        <v>28</v>
      </c>
      <c r="B12" s="9">
        <v>16</v>
      </c>
      <c r="C12" s="7" t="s">
        <v>29</v>
      </c>
    </row>
    <row r="13" spans="1:3" ht="14.4" x14ac:dyDescent="0.3">
      <c r="A13" s="5" t="s">
        <v>30</v>
      </c>
      <c r="B13" s="9">
        <v>22</v>
      </c>
      <c r="C13" s="7" t="s">
        <v>29</v>
      </c>
    </row>
    <row r="14" spans="1:3" ht="14.4" x14ac:dyDescent="0.3">
      <c r="A14" s="5" t="s">
        <v>31</v>
      </c>
      <c r="B14" s="9">
        <v>25</v>
      </c>
      <c r="C14" s="7" t="s">
        <v>32</v>
      </c>
    </row>
    <row r="15" spans="1:3" ht="14.4" x14ac:dyDescent="0.3">
      <c r="A15" s="5" t="s">
        <v>33</v>
      </c>
      <c r="B15" s="9">
        <v>35</v>
      </c>
      <c r="C15" s="7" t="s">
        <v>34</v>
      </c>
    </row>
    <row r="16" spans="1:3" ht="14.4" x14ac:dyDescent="0.3">
      <c r="A16" s="5" t="s">
        <v>35</v>
      </c>
      <c r="B16" s="9">
        <v>8</v>
      </c>
    </row>
    <row r="17" spans="1:3" ht="14.4" x14ac:dyDescent="0.3">
      <c r="A17" s="5" t="s">
        <v>36</v>
      </c>
      <c r="B17" s="9">
        <v>15</v>
      </c>
      <c r="C17" s="7" t="s">
        <v>37</v>
      </c>
    </row>
    <row r="18" spans="1:3" ht="14.4" x14ac:dyDescent="0.3">
      <c r="A18" s="5" t="s">
        <v>38</v>
      </c>
      <c r="B18" s="9">
        <v>50</v>
      </c>
      <c r="C18" s="7" t="s">
        <v>39</v>
      </c>
    </row>
    <row r="19" spans="1:3" ht="14.4" x14ac:dyDescent="0.3">
      <c r="A19" s="5" t="s">
        <v>40</v>
      </c>
      <c r="B19" s="10">
        <v>6</v>
      </c>
      <c r="C19" s="7" t="s">
        <v>41</v>
      </c>
    </row>
    <row r="20" spans="1:3" ht="14.4" x14ac:dyDescent="0.3">
      <c r="A20" s="5" t="s">
        <v>42</v>
      </c>
      <c r="B20" s="8">
        <v>0.6</v>
      </c>
      <c r="C20" s="7" t="s">
        <v>43</v>
      </c>
    </row>
    <row r="21" spans="1:3" ht="15.75" customHeight="1" x14ac:dyDescent="0.3">
      <c r="A21" s="5" t="s">
        <v>44</v>
      </c>
      <c r="B21" s="10">
        <v>2</v>
      </c>
      <c r="C21" s="7" t="s">
        <v>45</v>
      </c>
    </row>
    <row r="22" spans="1:3" ht="15.75" customHeight="1" x14ac:dyDescent="0.3">
      <c r="A22" s="5" t="s">
        <v>46</v>
      </c>
      <c r="B22" s="10">
        <v>96</v>
      </c>
      <c r="C22" s="7" t="s">
        <v>47</v>
      </c>
    </row>
    <row r="23" spans="1:3" ht="15.75" customHeight="1" x14ac:dyDescent="0.3">
      <c r="A23" s="5" t="s">
        <v>48</v>
      </c>
      <c r="B23" s="6">
        <v>512</v>
      </c>
      <c r="C23" s="7" t="s">
        <v>49</v>
      </c>
    </row>
    <row r="24" spans="1:3" ht="15.75" customHeight="1" x14ac:dyDescent="0.3"/>
    <row r="25" spans="1:3" ht="15.75" customHeight="1" x14ac:dyDescent="0.3">
      <c r="A25" s="43" t="s">
        <v>50</v>
      </c>
      <c r="B25" s="41"/>
      <c r="C25" s="42"/>
    </row>
    <row r="26" spans="1:3" ht="15.75" customHeight="1" x14ac:dyDescent="0.3">
      <c r="A26" s="5" t="s">
        <v>51</v>
      </c>
      <c r="B26" s="11">
        <v>4.4999999999999998E-2</v>
      </c>
      <c r="C26" s="7" t="s">
        <v>52</v>
      </c>
    </row>
    <row r="27" spans="1:3" ht="15.75" customHeight="1" x14ac:dyDescent="0.3">
      <c r="A27" s="5" t="s">
        <v>53</v>
      </c>
      <c r="B27" s="11">
        <v>0.12</v>
      </c>
      <c r="C27" s="7" t="s">
        <v>52</v>
      </c>
    </row>
    <row r="28" spans="1:3" ht="15.75" customHeight="1" x14ac:dyDescent="0.3">
      <c r="A28" s="5" t="s">
        <v>54</v>
      </c>
      <c r="B28" s="11">
        <v>2.3E-2</v>
      </c>
      <c r="C28" s="7" t="s">
        <v>55</v>
      </c>
    </row>
    <row r="29" spans="1:3" ht="15.75" customHeight="1" x14ac:dyDescent="0.3">
      <c r="A29" s="5" t="s">
        <v>56</v>
      </c>
      <c r="B29" s="11">
        <v>0.08</v>
      </c>
      <c r="C29" s="7" t="s">
        <v>57</v>
      </c>
    </row>
    <row r="30" spans="1:3" ht="15.75" customHeight="1" x14ac:dyDescent="0.3">
      <c r="A30" s="5" t="s">
        <v>58</v>
      </c>
      <c r="B30" s="11">
        <v>7.4999999999999997E-2</v>
      </c>
      <c r="C30" s="7" t="s">
        <v>59</v>
      </c>
    </row>
    <row r="31" spans="1:3" ht="15.75" customHeight="1" x14ac:dyDescent="0.3">
      <c r="A31" s="5" t="s">
        <v>60</v>
      </c>
      <c r="B31" s="6">
        <v>50</v>
      </c>
      <c r="C31" s="7" t="s">
        <v>61</v>
      </c>
    </row>
    <row r="32" spans="1:3" ht="15.75" customHeight="1" x14ac:dyDescent="0.3">
      <c r="A32" s="5" t="s">
        <v>62</v>
      </c>
      <c r="B32" s="6">
        <v>500</v>
      </c>
      <c r="C32" s="7" t="s">
        <v>63</v>
      </c>
    </row>
    <row r="33" spans="1:3" ht="15.75" customHeight="1" x14ac:dyDescent="0.3">
      <c r="A33" s="5" t="s">
        <v>64</v>
      </c>
      <c r="B33" s="6">
        <v>500</v>
      </c>
      <c r="C33" s="7" t="s">
        <v>65</v>
      </c>
    </row>
    <row r="34" spans="1:3" ht="15.75" customHeight="1" x14ac:dyDescent="0.3">
      <c r="A34" s="5" t="s">
        <v>66</v>
      </c>
      <c r="B34" s="6">
        <v>730</v>
      </c>
    </row>
    <row r="35" spans="1:3" ht="15.75" customHeight="1" x14ac:dyDescent="0.3">
      <c r="A35" s="5" t="s">
        <v>67</v>
      </c>
      <c r="B35" s="10">
        <v>85</v>
      </c>
      <c r="C35" s="7" t="s">
        <v>68</v>
      </c>
    </row>
    <row r="36" spans="1:3" ht="15.75" customHeight="1" x14ac:dyDescent="0.3"/>
    <row r="37" spans="1:3" ht="15.75" customHeight="1" x14ac:dyDescent="0.3">
      <c r="A37" s="43" t="s">
        <v>69</v>
      </c>
      <c r="B37" s="41"/>
      <c r="C37" s="42"/>
    </row>
    <row r="38" spans="1:3" ht="15.75" customHeight="1" x14ac:dyDescent="0.3">
      <c r="A38" s="5" t="s">
        <v>70</v>
      </c>
      <c r="B38" s="10">
        <v>15</v>
      </c>
      <c r="C38" s="7" t="s">
        <v>41</v>
      </c>
    </row>
    <row r="39" spans="1:3" ht="15.75" customHeight="1" x14ac:dyDescent="0.3">
      <c r="A39" s="5" t="s">
        <v>71</v>
      </c>
      <c r="B39" s="8">
        <v>0.03</v>
      </c>
      <c r="C39" s="7" t="s">
        <v>72</v>
      </c>
    </row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C1"/>
    <mergeCell ref="A3:C3"/>
    <mergeCell ref="A11:C11"/>
    <mergeCell ref="A25:C25"/>
    <mergeCell ref="A37:C37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selection activeCell="P8" sqref="P8"/>
    </sheetView>
  </sheetViews>
  <sheetFormatPr defaultColWidth="14.44140625" defaultRowHeight="15" customHeight="1" x14ac:dyDescent="0.3"/>
  <cols>
    <col min="1" max="1" width="30" bestFit="1" customWidth="1"/>
    <col min="2" max="2" width="10" customWidth="1"/>
    <col min="3" max="3" width="11" customWidth="1"/>
    <col min="4" max="4" width="12" customWidth="1"/>
    <col min="5" max="5" width="10" customWidth="1"/>
    <col min="6" max="6" width="11" customWidth="1"/>
    <col min="7" max="7" width="12" customWidth="1"/>
    <col min="8" max="10" width="9" customWidth="1"/>
    <col min="11" max="19" width="8.6640625" customWidth="1"/>
  </cols>
  <sheetData>
    <row r="1" spans="1:10" ht="21" x14ac:dyDescent="0.3">
      <c r="A1" s="40" t="s">
        <v>73</v>
      </c>
      <c r="B1" s="41"/>
      <c r="C1" s="41"/>
      <c r="D1" s="41"/>
      <c r="E1" s="41"/>
      <c r="F1" s="41"/>
      <c r="G1" s="41"/>
      <c r="H1" s="41"/>
      <c r="I1" s="41"/>
      <c r="J1" s="42"/>
    </row>
    <row r="3" spans="1:10" ht="39.6" x14ac:dyDescent="0.3">
      <c r="A3" s="12" t="s">
        <v>74</v>
      </c>
      <c r="B3" s="12" t="s">
        <v>75</v>
      </c>
      <c r="C3" s="12" t="s">
        <v>76</v>
      </c>
      <c r="D3" s="12" t="s">
        <v>77</v>
      </c>
      <c r="E3" s="12" t="s">
        <v>78</v>
      </c>
      <c r="F3" s="12" t="s">
        <v>79</v>
      </c>
      <c r="G3" s="12" t="s">
        <v>80</v>
      </c>
      <c r="H3" s="12" t="s">
        <v>81</v>
      </c>
      <c r="I3" s="12" t="s">
        <v>82</v>
      </c>
      <c r="J3" s="12" t="s">
        <v>83</v>
      </c>
    </row>
    <row r="4" spans="1:10" ht="14.4" x14ac:dyDescent="0.3">
      <c r="A4" s="5" t="s">
        <v>84</v>
      </c>
      <c r="B4" s="6">
        <v>8</v>
      </c>
      <c r="C4" s="6">
        <v>16</v>
      </c>
      <c r="D4" s="6">
        <v>100</v>
      </c>
      <c r="E4" s="6">
        <v>4</v>
      </c>
      <c r="F4" s="6">
        <v>8</v>
      </c>
      <c r="G4" s="6">
        <v>50</v>
      </c>
      <c r="H4" s="6">
        <v>1</v>
      </c>
      <c r="I4" s="6">
        <v>2</v>
      </c>
      <c r="J4" s="13">
        <v>2</v>
      </c>
    </row>
    <row r="5" spans="1:10" ht="14.4" x14ac:dyDescent="0.3">
      <c r="A5" s="5" t="s">
        <v>85</v>
      </c>
      <c r="B5" s="6">
        <v>8</v>
      </c>
      <c r="C5" s="6">
        <v>16</v>
      </c>
      <c r="D5" s="6">
        <v>100</v>
      </c>
      <c r="E5" s="47">
        <v>4</v>
      </c>
      <c r="F5" s="6">
        <v>8</v>
      </c>
      <c r="G5" s="6">
        <v>50</v>
      </c>
      <c r="H5" s="6">
        <v>1</v>
      </c>
      <c r="I5" s="6">
        <v>3</v>
      </c>
      <c r="J5" s="13">
        <v>5</v>
      </c>
    </row>
    <row r="6" spans="1:10" ht="14.4" x14ac:dyDescent="0.3">
      <c r="A6" s="5" t="s">
        <v>86</v>
      </c>
      <c r="B6" s="6">
        <v>8</v>
      </c>
      <c r="C6" s="6">
        <v>32</v>
      </c>
      <c r="D6" s="6">
        <v>2000</v>
      </c>
      <c r="E6" s="47">
        <v>4</v>
      </c>
      <c r="F6" s="6">
        <v>16</v>
      </c>
      <c r="G6" s="6">
        <v>1000</v>
      </c>
      <c r="H6" s="6">
        <v>1</v>
      </c>
      <c r="I6" s="6">
        <v>2</v>
      </c>
      <c r="J6" s="13">
        <v>3</v>
      </c>
    </row>
    <row r="7" spans="1:10" ht="14.4" x14ac:dyDescent="0.3">
      <c r="A7" s="5" t="s">
        <v>87</v>
      </c>
      <c r="B7" s="6">
        <v>16</v>
      </c>
      <c r="C7" s="6">
        <v>128</v>
      </c>
      <c r="D7" s="6">
        <v>2000</v>
      </c>
      <c r="E7" s="47">
        <v>8</v>
      </c>
      <c r="F7" s="6">
        <v>32</v>
      </c>
      <c r="G7" s="6">
        <v>500</v>
      </c>
      <c r="H7" s="6">
        <v>1</v>
      </c>
      <c r="I7" s="6">
        <v>2</v>
      </c>
      <c r="J7" s="13">
        <v>2</v>
      </c>
    </row>
    <row r="8" spans="1:10" ht="14.4" x14ac:dyDescent="0.3">
      <c r="A8" s="5" t="s">
        <v>88</v>
      </c>
      <c r="B8" s="6">
        <v>4</v>
      </c>
      <c r="C8" s="6">
        <v>32</v>
      </c>
      <c r="D8" s="6">
        <v>100</v>
      </c>
      <c r="E8" s="47">
        <v>2</v>
      </c>
      <c r="F8" s="6">
        <v>16</v>
      </c>
      <c r="G8" s="6">
        <v>50</v>
      </c>
      <c r="H8" s="6">
        <v>1</v>
      </c>
      <c r="I8" s="6">
        <v>3</v>
      </c>
      <c r="J8" s="13">
        <v>3</v>
      </c>
    </row>
    <row r="9" spans="1:10" ht="14.4" x14ac:dyDescent="0.3">
      <c r="A9" s="5" t="s">
        <v>89</v>
      </c>
      <c r="B9" s="6">
        <v>8</v>
      </c>
      <c r="C9" s="6">
        <v>32</v>
      </c>
      <c r="D9" s="6">
        <v>12000</v>
      </c>
      <c r="E9" s="47">
        <v>8</v>
      </c>
      <c r="F9" s="6">
        <v>32</v>
      </c>
      <c r="G9" s="6">
        <v>6000</v>
      </c>
      <c r="H9" s="6">
        <v>1</v>
      </c>
      <c r="I9" s="6">
        <v>4</v>
      </c>
      <c r="J9" s="13">
        <v>4</v>
      </c>
    </row>
    <row r="10" spans="1:10" ht="14.4" x14ac:dyDescent="0.3">
      <c r="A10" s="5" t="s">
        <v>90</v>
      </c>
      <c r="B10" s="6">
        <v>16</v>
      </c>
      <c r="C10" s="6">
        <v>64</v>
      </c>
      <c r="D10" s="6">
        <v>2000</v>
      </c>
      <c r="E10" s="6">
        <v>0</v>
      </c>
      <c r="F10" s="6">
        <v>0</v>
      </c>
      <c r="G10" s="6">
        <v>0</v>
      </c>
      <c r="H10" s="6">
        <v>0</v>
      </c>
      <c r="I10" s="6">
        <v>1</v>
      </c>
      <c r="J10" s="13">
        <v>1</v>
      </c>
    </row>
    <row r="11" spans="1:10" ht="14.4" x14ac:dyDescent="0.3">
      <c r="A11" s="5" t="s">
        <v>91</v>
      </c>
      <c r="B11" s="6">
        <v>8</v>
      </c>
      <c r="C11" s="6">
        <v>32</v>
      </c>
      <c r="D11" s="6">
        <v>4000</v>
      </c>
      <c r="E11" s="47">
        <v>4</v>
      </c>
      <c r="F11" s="6">
        <v>16</v>
      </c>
      <c r="G11" s="6">
        <v>1000</v>
      </c>
      <c r="H11" s="6">
        <v>1</v>
      </c>
      <c r="I11" s="6">
        <v>1</v>
      </c>
      <c r="J11" s="13">
        <v>1</v>
      </c>
    </row>
    <row r="13" spans="1:10" ht="26.4" x14ac:dyDescent="0.3">
      <c r="A13" s="7" t="s">
        <v>92</v>
      </c>
      <c r="B13" s="12" t="s">
        <v>93</v>
      </c>
      <c r="C13" s="12" t="s">
        <v>94</v>
      </c>
      <c r="D13" s="12" t="s">
        <v>95</v>
      </c>
      <c r="E13" s="12" t="s">
        <v>96</v>
      </c>
    </row>
    <row r="14" spans="1:10" ht="14.4" x14ac:dyDescent="0.3">
      <c r="A14" s="14" t="s">
        <v>97</v>
      </c>
      <c r="B14" s="15">
        <f>SUMPRODUCT(E4:E11,H4:H11)</f>
        <v>34</v>
      </c>
      <c r="C14" s="15">
        <f>SUMPRODUCT(F4:F11,H4:H11)</f>
        <v>128</v>
      </c>
      <c r="D14" s="15">
        <f>SUMPRODUCT(G4:G11,H4:H11)</f>
        <v>8650</v>
      </c>
      <c r="E14" s="16">
        <f t="shared" ref="E14:E16" si="0">D14/1000</f>
        <v>8.65</v>
      </c>
    </row>
    <row r="15" spans="1:10" ht="14.4" x14ac:dyDescent="0.3">
      <c r="A15" s="14" t="s">
        <v>98</v>
      </c>
      <c r="B15" s="15">
        <f>SUMPRODUCT(B4:B11,I4:I11)</f>
        <v>156</v>
      </c>
      <c r="C15" s="15">
        <f>SUMPRODUCT(C4:C11,I4:I11)</f>
        <v>720</v>
      </c>
      <c r="D15" s="15">
        <f>SUMPRODUCT(D4:D11,I4:I11)</f>
        <v>62800</v>
      </c>
      <c r="E15" s="16">
        <f t="shared" si="0"/>
        <v>62.8</v>
      </c>
    </row>
    <row r="16" spans="1:10" ht="14.4" x14ac:dyDescent="0.3">
      <c r="A16" s="14" t="s">
        <v>99</v>
      </c>
      <c r="B16" s="15">
        <f>SUMPRODUCT(B4:B11,J4:J11)</f>
        <v>180</v>
      </c>
      <c r="C16" s="15">
        <f>SUMPRODUCT(C4:C11,J4:J11)</f>
        <v>784</v>
      </c>
      <c r="D16" s="15">
        <f>SUMPRODUCT(D4:D11,J4:J11)</f>
        <v>65000</v>
      </c>
      <c r="E16" s="16">
        <f t="shared" si="0"/>
        <v>65</v>
      </c>
    </row>
    <row r="18" spans="1:10" ht="14.4" x14ac:dyDescent="0.3">
      <c r="A18" s="43" t="s">
        <v>100</v>
      </c>
      <c r="B18" s="41"/>
      <c r="C18" s="41"/>
      <c r="D18" s="41"/>
      <c r="E18" s="42"/>
    </row>
    <row r="19" spans="1:10" ht="14.4" x14ac:dyDescent="0.3">
      <c r="A19" s="5" t="s">
        <v>101</v>
      </c>
      <c r="B19" s="17">
        <f>Assumptions!B7*Assumptions!B8*Assumptions!B9/1000</f>
        <v>0.4</v>
      </c>
    </row>
    <row r="20" spans="1:10" ht="14.4" x14ac:dyDescent="0.3">
      <c r="A20" s="5" t="s">
        <v>102</v>
      </c>
      <c r="B20" s="17">
        <f>Assumptions!B6*Assumptions!B8*Assumptions!B9/1000</f>
        <v>2.4</v>
      </c>
    </row>
    <row r="21" spans="1:10" ht="15.75" customHeight="1" x14ac:dyDescent="0.3">
      <c r="A21" s="5" t="s">
        <v>103</v>
      </c>
      <c r="B21" s="17">
        <f>Assumptions!B5*Assumptions!B8*Assumptions!B9/1000</f>
        <v>8</v>
      </c>
    </row>
    <row r="22" spans="1:10" ht="15.75" customHeight="1" x14ac:dyDescent="0.3">
      <c r="A22" s="5" t="s">
        <v>104</v>
      </c>
      <c r="B22" s="17">
        <f>Assumptions!B5*Assumptions!B9/1000</f>
        <v>20</v>
      </c>
    </row>
    <row r="23" spans="1:10" ht="15.75" customHeight="1" x14ac:dyDescent="0.3"/>
    <row r="24" spans="1:10" ht="15.75" customHeight="1" x14ac:dyDescent="0.3">
      <c r="A24" s="44" t="s">
        <v>105</v>
      </c>
      <c r="B24" s="45"/>
      <c r="C24" s="45"/>
      <c r="D24" s="45"/>
      <c r="E24" s="45"/>
      <c r="F24" s="45"/>
      <c r="G24" s="45"/>
      <c r="H24" s="45"/>
      <c r="I24" s="45"/>
      <c r="J24" s="45"/>
    </row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J1"/>
    <mergeCell ref="A18:E18"/>
    <mergeCell ref="A24:J24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showGridLines="0" topLeftCell="A5" workbookViewId="0">
      <selection activeCell="F13" sqref="F13"/>
    </sheetView>
  </sheetViews>
  <sheetFormatPr defaultColWidth="14.44140625" defaultRowHeight="15" customHeight="1" x14ac:dyDescent="0.3"/>
  <cols>
    <col min="1" max="1" width="47.44140625" bestFit="1" customWidth="1"/>
    <col min="2" max="3" width="10" customWidth="1"/>
    <col min="4" max="5" width="12" customWidth="1"/>
    <col min="6" max="6" width="14" customWidth="1"/>
    <col min="7" max="26" width="8.6640625" customWidth="1"/>
  </cols>
  <sheetData>
    <row r="1" spans="1:6" ht="21" x14ac:dyDescent="0.3">
      <c r="A1" s="40" t="s">
        <v>106</v>
      </c>
      <c r="B1" s="41"/>
      <c r="C1" s="41"/>
      <c r="D1" s="41"/>
      <c r="E1" s="41"/>
      <c r="F1" s="42"/>
    </row>
    <row r="3" spans="1:6" ht="14.4" x14ac:dyDescent="0.3">
      <c r="A3" s="43" t="s">
        <v>107</v>
      </c>
      <c r="B3" s="41"/>
      <c r="C3" s="41"/>
      <c r="D3" s="41"/>
      <c r="E3" s="41"/>
      <c r="F3" s="42"/>
    </row>
    <row r="4" spans="1:6" ht="14.4" x14ac:dyDescent="0.3">
      <c r="A4" s="5" t="s">
        <v>108</v>
      </c>
      <c r="B4" s="18">
        <f>'Resource Model'!B16-('Resource Model'!B9*'Resource Model'!J9)-('Resource Model'!B10*'Resource Model'!J10)</f>
        <v>132</v>
      </c>
    </row>
    <row r="5" spans="1:6" ht="14.4" x14ac:dyDescent="0.3">
      <c r="A5" s="5" t="s">
        <v>109</v>
      </c>
      <c r="B5" s="18">
        <f>'Resource Model'!C16-('Resource Model'!C9*'Resource Model'!J9)-('Resource Model'!C10*'Resource Model'!J10)</f>
        <v>592</v>
      </c>
    </row>
    <row r="6" spans="1:6" ht="14.4" x14ac:dyDescent="0.3">
      <c r="A6" s="5" t="s">
        <v>110</v>
      </c>
      <c r="B6" s="19">
        <f>ROUNDUP(MAX(B4/Assumptions!B22,B5/Assumptions!B23),0)+Assumptions!B21</f>
        <v>4</v>
      </c>
    </row>
    <row r="8" spans="1:6" ht="14.4" x14ac:dyDescent="0.3">
      <c r="A8" s="43" t="s">
        <v>111</v>
      </c>
      <c r="B8" s="41"/>
      <c r="C8" s="41"/>
      <c r="D8" s="41"/>
      <c r="E8" s="41"/>
      <c r="F8" s="42"/>
    </row>
    <row r="9" spans="1:6" ht="14.4" x14ac:dyDescent="0.3">
      <c r="A9" s="12" t="s">
        <v>112</v>
      </c>
      <c r="B9" s="12" t="s">
        <v>113</v>
      </c>
      <c r="C9" s="12" t="s">
        <v>114</v>
      </c>
      <c r="D9" s="12" t="s">
        <v>115</v>
      </c>
      <c r="E9" s="12"/>
      <c r="F9" s="12"/>
    </row>
    <row r="10" spans="1:6" ht="14.4" x14ac:dyDescent="0.3">
      <c r="A10" s="20" t="s">
        <v>116</v>
      </c>
      <c r="B10" s="21">
        <f>B6</f>
        <v>4</v>
      </c>
      <c r="C10" s="22">
        <f>Assumptions!B12</f>
        <v>16</v>
      </c>
      <c r="D10" s="23">
        <f t="shared" ref="D10:D14" si="0">B10*C10</f>
        <v>64</v>
      </c>
    </row>
    <row r="11" spans="1:6" ht="14.4" x14ac:dyDescent="0.3">
      <c r="A11" s="20" t="s">
        <v>117</v>
      </c>
      <c r="B11" s="21">
        <f>'Resource Model'!J10</f>
        <v>1</v>
      </c>
      <c r="C11" s="22">
        <f>Assumptions!B13</f>
        <v>22</v>
      </c>
      <c r="D11" s="23">
        <f t="shared" si="0"/>
        <v>22</v>
      </c>
    </row>
    <row r="12" spans="1:6" ht="14.4" x14ac:dyDescent="0.3">
      <c r="A12" s="20" t="s">
        <v>118</v>
      </c>
      <c r="B12" s="21">
        <f t="shared" ref="B12:B14" si="1">1</f>
        <v>1</v>
      </c>
      <c r="C12" s="22">
        <f>Assumptions!B14</f>
        <v>25</v>
      </c>
      <c r="D12" s="23">
        <f t="shared" si="0"/>
        <v>25</v>
      </c>
    </row>
    <row r="13" spans="1:6" ht="14.4" x14ac:dyDescent="0.3">
      <c r="A13" s="20" t="s">
        <v>119</v>
      </c>
      <c r="B13" s="21">
        <v>0</v>
      </c>
      <c r="C13" s="22">
        <f>Assumptions!B15</f>
        <v>35</v>
      </c>
      <c r="D13" s="23">
        <f t="shared" si="0"/>
        <v>0</v>
      </c>
    </row>
    <row r="14" spans="1:6" ht="14.4" x14ac:dyDescent="0.3">
      <c r="A14" s="20" t="s">
        <v>120</v>
      </c>
      <c r="B14" s="21">
        <f t="shared" si="1"/>
        <v>1</v>
      </c>
      <c r="C14" s="22">
        <f>Assumptions!B16</f>
        <v>8</v>
      </c>
      <c r="D14" s="23">
        <f t="shared" si="0"/>
        <v>8</v>
      </c>
    </row>
    <row r="15" spans="1:6" ht="14.4" x14ac:dyDescent="0.3">
      <c r="A15" s="24" t="s">
        <v>121</v>
      </c>
      <c r="D15" s="16">
        <f>SUM(D10:D14)</f>
        <v>119</v>
      </c>
    </row>
    <row r="16" spans="1:6" ht="14.4" x14ac:dyDescent="0.3">
      <c r="A16" s="20" t="s">
        <v>122</v>
      </c>
      <c r="B16" s="21">
        <f>1</f>
        <v>1</v>
      </c>
      <c r="C16" s="22">
        <f>Assumptions!B17</f>
        <v>15</v>
      </c>
      <c r="D16" s="23">
        <f>B16*C16</f>
        <v>15</v>
      </c>
    </row>
    <row r="17" spans="1:6" ht="14.4" x14ac:dyDescent="0.3">
      <c r="A17" s="25" t="s">
        <v>123</v>
      </c>
      <c r="B17" s="26"/>
      <c r="C17" s="26"/>
      <c r="D17" s="27">
        <f>D15+D16</f>
        <v>134</v>
      </c>
      <c r="F17" s="28">
        <f>D17/100</f>
        <v>1.34</v>
      </c>
    </row>
    <row r="18" spans="1:6" ht="15" customHeight="1" x14ac:dyDescent="0.3">
      <c r="D18" s="48">
        <v>0.1</v>
      </c>
    </row>
    <row r="19" spans="1:6" ht="14.4" x14ac:dyDescent="0.3">
      <c r="A19" s="43" t="s">
        <v>124</v>
      </c>
      <c r="B19" s="41"/>
      <c r="C19" s="41"/>
      <c r="D19" s="41"/>
      <c r="E19" s="41"/>
      <c r="F19" s="42"/>
    </row>
    <row r="20" spans="1:6" ht="14.4" x14ac:dyDescent="0.3">
      <c r="A20" s="12" t="s">
        <v>125</v>
      </c>
      <c r="B20" s="12" t="s">
        <v>126</v>
      </c>
      <c r="C20" s="12" t="s">
        <v>127</v>
      </c>
      <c r="D20" s="12" t="s">
        <v>128</v>
      </c>
      <c r="E20" s="12" t="s">
        <v>129</v>
      </c>
      <c r="F20" s="12" t="s">
        <v>130</v>
      </c>
    </row>
    <row r="21" spans="1:6" ht="15.75" customHeight="1" x14ac:dyDescent="0.3">
      <c r="A21" s="29">
        <v>1</v>
      </c>
      <c r="B21" s="30">
        <f>D17</f>
        <v>134</v>
      </c>
      <c r="C21" s="30">
        <v>0</v>
      </c>
      <c r="D21" s="31">
        <f>$D$17*$D$18</f>
        <v>13.4</v>
      </c>
      <c r="E21" s="23">
        <f t="shared" ref="E21:E35" si="2">B21+C21+D21</f>
        <v>147.4</v>
      </c>
      <c r="F21" s="23">
        <f>E21</f>
        <v>147.4</v>
      </c>
    </row>
    <row r="22" spans="1:6" ht="15.75" customHeight="1" x14ac:dyDescent="0.3">
      <c r="A22" s="29">
        <v>2</v>
      </c>
      <c r="B22" s="30">
        <v>0</v>
      </c>
      <c r="C22" s="30">
        <f>IF(AND(MOD(2-1,Assumptions!B19)=0),$D$15*Assumptions!B20,0)</f>
        <v>0</v>
      </c>
      <c r="D22" s="31">
        <f t="shared" ref="D22:D35" si="3">$D$17*$D$18</f>
        <v>13.4</v>
      </c>
      <c r="E22" s="23">
        <f t="shared" si="2"/>
        <v>13.4</v>
      </c>
      <c r="F22" s="23">
        <f t="shared" ref="F22:F35" si="4">F21+E22</f>
        <v>160.80000000000001</v>
      </c>
    </row>
    <row r="23" spans="1:6" ht="15.75" customHeight="1" x14ac:dyDescent="0.3">
      <c r="A23" s="29">
        <v>3</v>
      </c>
      <c r="B23" s="30">
        <v>0</v>
      </c>
      <c r="C23" s="30">
        <f>IF(AND(MOD(3-1,Assumptions!B19)=0),$D$15*Assumptions!B20,0)</f>
        <v>0</v>
      </c>
      <c r="D23" s="31">
        <f t="shared" si="3"/>
        <v>13.4</v>
      </c>
      <c r="E23" s="23">
        <f t="shared" si="2"/>
        <v>13.4</v>
      </c>
      <c r="F23" s="23">
        <f t="shared" si="4"/>
        <v>174.20000000000002</v>
      </c>
    </row>
    <row r="24" spans="1:6" ht="15.75" customHeight="1" x14ac:dyDescent="0.3">
      <c r="A24" s="29">
        <v>4</v>
      </c>
      <c r="B24" s="30">
        <v>0</v>
      </c>
      <c r="C24" s="30">
        <f>IF(AND(MOD(4-1,Assumptions!B19)=0),$D$15*Assumptions!B20,0)</f>
        <v>0</v>
      </c>
      <c r="D24" s="31">
        <f t="shared" si="3"/>
        <v>13.4</v>
      </c>
      <c r="E24" s="23">
        <f t="shared" si="2"/>
        <v>13.4</v>
      </c>
      <c r="F24" s="23">
        <f t="shared" si="4"/>
        <v>187.60000000000002</v>
      </c>
    </row>
    <row r="25" spans="1:6" ht="15.75" customHeight="1" x14ac:dyDescent="0.3">
      <c r="A25" s="29">
        <v>5</v>
      </c>
      <c r="B25" s="30">
        <v>0</v>
      </c>
      <c r="C25" s="30">
        <f>IF(AND(MOD(5-1,Assumptions!B19)=0),$D$15*Assumptions!B20,0)</f>
        <v>0</v>
      </c>
      <c r="D25" s="31">
        <f t="shared" si="3"/>
        <v>13.4</v>
      </c>
      <c r="E25" s="23">
        <f t="shared" si="2"/>
        <v>13.4</v>
      </c>
      <c r="F25" s="23">
        <f t="shared" si="4"/>
        <v>201.00000000000003</v>
      </c>
    </row>
    <row r="26" spans="1:6" ht="15.75" customHeight="1" x14ac:dyDescent="0.3">
      <c r="A26" s="29">
        <v>6</v>
      </c>
      <c r="B26" s="30">
        <v>0</v>
      </c>
      <c r="C26" s="30">
        <f>IF(AND(MOD(6-1,Assumptions!B19)=0),$D$15*Assumptions!B20,0)</f>
        <v>0</v>
      </c>
      <c r="D26" s="31">
        <f t="shared" si="3"/>
        <v>13.4</v>
      </c>
      <c r="E26" s="23">
        <f t="shared" si="2"/>
        <v>13.4</v>
      </c>
      <c r="F26" s="23">
        <f t="shared" si="4"/>
        <v>214.40000000000003</v>
      </c>
    </row>
    <row r="27" spans="1:6" ht="15.75" customHeight="1" x14ac:dyDescent="0.3">
      <c r="A27" s="29">
        <v>7</v>
      </c>
      <c r="B27" s="30">
        <v>0</v>
      </c>
      <c r="C27" s="30">
        <f>IF(AND(MOD(7-1,Assumptions!B19)=0),$D$15*Assumptions!B20,0)</f>
        <v>71.399999999999991</v>
      </c>
      <c r="D27" s="31">
        <f t="shared" si="3"/>
        <v>13.4</v>
      </c>
      <c r="E27" s="23">
        <f t="shared" si="2"/>
        <v>84.8</v>
      </c>
      <c r="F27" s="23">
        <f t="shared" si="4"/>
        <v>299.20000000000005</v>
      </c>
    </row>
    <row r="28" spans="1:6" ht="15.75" customHeight="1" x14ac:dyDescent="0.3">
      <c r="A28" s="29">
        <v>8</v>
      </c>
      <c r="B28" s="30">
        <v>0</v>
      </c>
      <c r="C28" s="30">
        <f>IF(AND(MOD(8-1,Assumptions!B19)=0),$D$15*Assumptions!B20,0)</f>
        <v>0</v>
      </c>
      <c r="D28" s="31">
        <f t="shared" si="3"/>
        <v>13.4</v>
      </c>
      <c r="E28" s="23">
        <f t="shared" si="2"/>
        <v>13.4</v>
      </c>
      <c r="F28" s="23">
        <f t="shared" si="4"/>
        <v>312.60000000000002</v>
      </c>
    </row>
    <row r="29" spans="1:6" ht="15.75" customHeight="1" x14ac:dyDescent="0.3">
      <c r="A29" s="29">
        <v>9</v>
      </c>
      <c r="B29" s="30">
        <v>0</v>
      </c>
      <c r="C29" s="30">
        <f>IF(AND(MOD(9-1,Assumptions!B19)=0),$D$15*Assumptions!B20,0)</f>
        <v>0</v>
      </c>
      <c r="D29" s="31">
        <f t="shared" si="3"/>
        <v>13.4</v>
      </c>
      <c r="E29" s="23">
        <f t="shared" si="2"/>
        <v>13.4</v>
      </c>
      <c r="F29" s="23">
        <f t="shared" si="4"/>
        <v>326</v>
      </c>
    </row>
    <row r="30" spans="1:6" ht="15.75" customHeight="1" x14ac:dyDescent="0.3">
      <c r="A30" s="29">
        <v>10</v>
      </c>
      <c r="B30" s="30">
        <v>0</v>
      </c>
      <c r="C30" s="30">
        <f>IF(AND(MOD(10-1,Assumptions!B19)=0),$D$15*Assumptions!B20,0)</f>
        <v>0</v>
      </c>
      <c r="D30" s="31">
        <f t="shared" si="3"/>
        <v>13.4</v>
      </c>
      <c r="E30" s="23">
        <f t="shared" si="2"/>
        <v>13.4</v>
      </c>
      <c r="F30" s="23">
        <f t="shared" si="4"/>
        <v>339.4</v>
      </c>
    </row>
    <row r="31" spans="1:6" ht="15.75" customHeight="1" x14ac:dyDescent="0.3">
      <c r="A31" s="29">
        <v>11</v>
      </c>
      <c r="B31" s="30">
        <v>0</v>
      </c>
      <c r="C31" s="30">
        <f>IF(AND(MOD(11-1,Assumptions!B19)=0),$D$15*Assumptions!B20,0)</f>
        <v>0</v>
      </c>
      <c r="D31" s="31">
        <f t="shared" si="3"/>
        <v>13.4</v>
      </c>
      <c r="E31" s="23">
        <f t="shared" si="2"/>
        <v>13.4</v>
      </c>
      <c r="F31" s="23">
        <f t="shared" si="4"/>
        <v>352.79999999999995</v>
      </c>
    </row>
    <row r="32" spans="1:6" ht="15.75" customHeight="1" x14ac:dyDescent="0.3">
      <c r="A32" s="29">
        <v>12</v>
      </c>
      <c r="B32" s="30">
        <v>0</v>
      </c>
      <c r="C32" s="30">
        <f>IF(AND(MOD(12-1,Assumptions!B19)=0),$D$15*Assumptions!B20,0)</f>
        <v>0</v>
      </c>
      <c r="D32" s="31">
        <f t="shared" si="3"/>
        <v>13.4</v>
      </c>
      <c r="E32" s="23">
        <f t="shared" si="2"/>
        <v>13.4</v>
      </c>
      <c r="F32" s="23">
        <f t="shared" si="4"/>
        <v>366.19999999999993</v>
      </c>
    </row>
    <row r="33" spans="1:6" ht="15.75" customHeight="1" x14ac:dyDescent="0.3">
      <c r="A33" s="29">
        <v>13</v>
      </c>
      <c r="B33" s="30">
        <v>0</v>
      </c>
      <c r="C33" s="30">
        <f>IF(AND(MOD(13-1,Assumptions!B19)=0),$D$15*Assumptions!B20,0)</f>
        <v>71.399999999999991</v>
      </c>
      <c r="D33" s="31">
        <f t="shared" si="3"/>
        <v>13.4</v>
      </c>
      <c r="E33" s="23">
        <f t="shared" si="2"/>
        <v>84.8</v>
      </c>
      <c r="F33" s="23">
        <f t="shared" si="4"/>
        <v>450.99999999999994</v>
      </c>
    </row>
    <row r="34" spans="1:6" ht="15.75" customHeight="1" x14ac:dyDescent="0.3">
      <c r="A34" s="29">
        <v>14</v>
      </c>
      <c r="B34" s="30">
        <v>0</v>
      </c>
      <c r="C34" s="30">
        <f>IF(AND(MOD(14-1,Assumptions!B19)=0),$D$15*Assumptions!B20,0)</f>
        <v>0</v>
      </c>
      <c r="D34" s="31">
        <f t="shared" si="3"/>
        <v>13.4</v>
      </c>
      <c r="E34" s="23">
        <f t="shared" si="2"/>
        <v>13.4</v>
      </c>
      <c r="F34" s="23">
        <f t="shared" si="4"/>
        <v>464.39999999999992</v>
      </c>
    </row>
    <row r="35" spans="1:6" ht="15.75" customHeight="1" x14ac:dyDescent="0.3">
      <c r="A35" s="29">
        <v>15</v>
      </c>
      <c r="B35" s="30">
        <v>0</v>
      </c>
      <c r="C35" s="30">
        <f>IF(AND(MOD(15-1,Assumptions!B19)=0),$D$15*Assumptions!B20,0)</f>
        <v>0</v>
      </c>
      <c r="D35" s="31">
        <f t="shared" si="3"/>
        <v>13.4</v>
      </c>
      <c r="E35" s="23">
        <f t="shared" si="2"/>
        <v>13.4</v>
      </c>
      <c r="F35" s="23">
        <f t="shared" si="4"/>
        <v>477.7999999999999</v>
      </c>
    </row>
    <row r="36" spans="1:6" ht="15.75" customHeight="1" x14ac:dyDescent="0.3">
      <c r="A36" s="25" t="s">
        <v>131</v>
      </c>
      <c r="E36" s="32">
        <f>F35/100</f>
        <v>4.7779999999999987</v>
      </c>
      <c r="F36" s="27">
        <f>F35</f>
        <v>477.7999999999999</v>
      </c>
    </row>
    <row r="37" spans="1:6" ht="15.75" customHeight="1" x14ac:dyDescent="0.3"/>
    <row r="38" spans="1:6" ht="15.75" customHeight="1" x14ac:dyDescent="0.3"/>
    <row r="39" spans="1:6" ht="15.75" customHeight="1" x14ac:dyDescent="0.3"/>
    <row r="40" spans="1:6" ht="15.75" customHeight="1" x14ac:dyDescent="0.3"/>
    <row r="41" spans="1:6" ht="15.75" customHeight="1" x14ac:dyDescent="0.3"/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F1"/>
    <mergeCell ref="A3:F3"/>
    <mergeCell ref="A8:F8"/>
    <mergeCell ref="A19:F19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showGridLines="0" workbookViewId="0">
      <selection activeCell="G14" sqref="G14"/>
    </sheetView>
  </sheetViews>
  <sheetFormatPr defaultColWidth="14.44140625" defaultRowHeight="15" customHeight="1" x14ac:dyDescent="0.3"/>
  <cols>
    <col min="1" max="1" width="39.109375" customWidth="1"/>
    <col min="2" max="2" width="36.5546875" bestFit="1" customWidth="1"/>
    <col min="3" max="3" width="13.77734375" bestFit="1" customWidth="1"/>
    <col min="4" max="23" width="8.6640625" customWidth="1"/>
  </cols>
  <sheetData>
    <row r="1" spans="1:3" ht="21" x14ac:dyDescent="0.3">
      <c r="A1" s="50" t="s">
        <v>132</v>
      </c>
      <c r="B1" s="51"/>
      <c r="C1" s="52"/>
    </row>
    <row r="2" spans="1:3" ht="15" customHeight="1" x14ac:dyDescent="0.3">
      <c r="A2" s="53"/>
      <c r="B2" s="54"/>
      <c r="C2" s="55"/>
    </row>
    <row r="3" spans="1:3" ht="14.4" x14ac:dyDescent="0.3">
      <c r="A3" s="56" t="s">
        <v>133</v>
      </c>
      <c r="B3" s="57"/>
      <c r="C3" s="58"/>
    </row>
    <row r="4" spans="1:3" ht="14.4" x14ac:dyDescent="0.3">
      <c r="A4" s="59" t="s">
        <v>134</v>
      </c>
      <c r="B4" s="12" t="s">
        <v>135</v>
      </c>
      <c r="C4" s="60" t="s">
        <v>65</v>
      </c>
    </row>
    <row r="5" spans="1:3" ht="14.4" x14ac:dyDescent="0.3">
      <c r="A5" s="61" t="s">
        <v>136</v>
      </c>
      <c r="B5" s="33" t="s">
        <v>137</v>
      </c>
      <c r="C5" s="62">
        <f>('Resource Model'!B16-('Resource Model'!B7*'Resource Model'!J7)-('Resource Model'!B10*'Resource Model'!J10)-('Resource Model'!B9*'Resource Model'!J9))*Assumptions!B26*Assumptions!B34</f>
        <v>3285</v>
      </c>
    </row>
    <row r="6" spans="1:3" ht="14.4" x14ac:dyDescent="0.3">
      <c r="A6" s="61" t="s">
        <v>138</v>
      </c>
      <c r="B6" s="33" t="s">
        <v>139</v>
      </c>
      <c r="C6" s="62">
        <f>('Resource Model'!B7*'Resource Model'!J7)*Assumptions!B27*Assumptions!B34</f>
        <v>2803.2</v>
      </c>
    </row>
    <row r="7" spans="1:3" ht="14.4" x14ac:dyDescent="0.3">
      <c r="A7" s="61" t="s">
        <v>140</v>
      </c>
      <c r="B7" s="33" t="s">
        <v>141</v>
      </c>
      <c r="C7" s="62">
        <f>Assumptions!B32</f>
        <v>500</v>
      </c>
    </row>
    <row r="8" spans="1:3" ht="14.4" x14ac:dyDescent="0.3">
      <c r="A8" s="61" t="s">
        <v>64</v>
      </c>
      <c r="B8" s="33" t="s">
        <v>142</v>
      </c>
      <c r="C8" s="62">
        <f>Assumptions!B33</f>
        <v>500</v>
      </c>
    </row>
    <row r="9" spans="1:3" ht="14.4" x14ac:dyDescent="0.3">
      <c r="A9" s="61" t="s">
        <v>54</v>
      </c>
      <c r="B9" s="33" t="s">
        <v>143</v>
      </c>
      <c r="C9" s="62">
        <f>('Resource Model'!D9*'Resource Model'!J9)*Assumptions!B28</f>
        <v>1104</v>
      </c>
    </row>
    <row r="10" spans="1:3" ht="14.4" x14ac:dyDescent="0.3">
      <c r="A10" s="61" t="s">
        <v>144</v>
      </c>
      <c r="B10" s="33" t="s">
        <v>145</v>
      </c>
      <c r="C10" s="62">
        <f>('Resource Model'!D16-('Resource Model'!D9*'Resource Model'!J9))*Assumptions!B29</f>
        <v>1360</v>
      </c>
    </row>
    <row r="11" spans="1:3" ht="14.4" x14ac:dyDescent="0.3">
      <c r="A11" s="61" t="s">
        <v>146</v>
      </c>
      <c r="B11" s="33" t="s">
        <v>147</v>
      </c>
      <c r="C11" s="62">
        <f>Assumptions!B31*1024*Assumptions!B30</f>
        <v>3840</v>
      </c>
    </row>
    <row r="12" spans="1:3" ht="14.4" x14ac:dyDescent="0.3">
      <c r="A12" s="63" t="s">
        <v>148</v>
      </c>
      <c r="B12" s="54"/>
      <c r="C12" s="64">
        <f>SUM(C5:C11)</f>
        <v>13392.2</v>
      </c>
    </row>
    <row r="13" spans="1:3" ht="15" customHeight="1" x14ac:dyDescent="0.3">
      <c r="A13" s="53"/>
      <c r="B13" s="54"/>
      <c r="C13" s="55"/>
    </row>
    <row r="14" spans="1:3" ht="14.4" x14ac:dyDescent="0.3">
      <c r="A14" s="65" t="s">
        <v>149</v>
      </c>
      <c r="B14" s="54"/>
      <c r="C14" s="66">
        <f>C12*12*Assumptions!B35/100000</f>
        <v>136.60044000000002</v>
      </c>
    </row>
    <row r="15" spans="1:3" ht="15" customHeight="1" x14ac:dyDescent="0.3">
      <c r="A15" s="53"/>
      <c r="B15" s="54"/>
      <c r="C15" s="55"/>
    </row>
    <row r="16" spans="1:3" ht="14.4" x14ac:dyDescent="0.3">
      <c r="A16" s="67" t="s">
        <v>150</v>
      </c>
      <c r="B16" s="49"/>
      <c r="C16" s="68"/>
    </row>
    <row r="17" spans="1:3" ht="14.4" x14ac:dyDescent="0.3">
      <c r="A17" s="59" t="s">
        <v>125</v>
      </c>
      <c r="B17" s="12" t="s">
        <v>151</v>
      </c>
      <c r="C17" s="60" t="s">
        <v>152</v>
      </c>
    </row>
    <row r="18" spans="1:3" ht="14.4" x14ac:dyDescent="0.3">
      <c r="A18" s="69">
        <v>1</v>
      </c>
      <c r="B18" s="23">
        <f>$C$14</f>
        <v>136.60044000000002</v>
      </c>
      <c r="C18" s="70">
        <f>B18</f>
        <v>136.60044000000002</v>
      </c>
    </row>
    <row r="19" spans="1:3" ht="14.4" x14ac:dyDescent="0.3">
      <c r="A19" s="69">
        <v>2</v>
      </c>
      <c r="B19" s="23">
        <f>B18*(1+Assumptions!B39)</f>
        <v>140.69845320000002</v>
      </c>
      <c r="C19" s="70">
        <f t="shared" ref="C19:C32" si="0">C18+B19</f>
        <v>277.29889320000007</v>
      </c>
    </row>
    <row r="20" spans="1:3" ht="14.4" x14ac:dyDescent="0.3">
      <c r="A20" s="69">
        <v>3</v>
      </c>
      <c r="B20" s="23">
        <f>B19*(1+Assumptions!B39)</f>
        <v>144.91940679600003</v>
      </c>
      <c r="C20" s="70">
        <f t="shared" si="0"/>
        <v>422.2182999960001</v>
      </c>
    </row>
    <row r="21" spans="1:3" ht="15.75" customHeight="1" x14ac:dyDescent="0.3">
      <c r="A21" s="69">
        <v>4</v>
      </c>
      <c r="B21" s="23">
        <f>B20*(1+Assumptions!B39)</f>
        <v>149.26698899988003</v>
      </c>
      <c r="C21" s="70">
        <f t="shared" si="0"/>
        <v>571.48528899588018</v>
      </c>
    </row>
    <row r="22" spans="1:3" ht="15.75" customHeight="1" x14ac:dyDescent="0.3">
      <c r="A22" s="69">
        <v>5</v>
      </c>
      <c r="B22" s="23">
        <f>B21*(1+Assumptions!B39)</f>
        <v>153.74499866987642</v>
      </c>
      <c r="C22" s="70">
        <f t="shared" si="0"/>
        <v>725.23028766575658</v>
      </c>
    </row>
    <row r="23" spans="1:3" ht="15.75" customHeight="1" x14ac:dyDescent="0.3">
      <c r="A23" s="69">
        <v>6</v>
      </c>
      <c r="B23" s="23">
        <f>B22*(1+Assumptions!B39)</f>
        <v>158.35734862997273</v>
      </c>
      <c r="C23" s="70">
        <f t="shared" si="0"/>
        <v>883.58763629572934</v>
      </c>
    </row>
    <row r="24" spans="1:3" ht="15.75" customHeight="1" x14ac:dyDescent="0.3">
      <c r="A24" s="69">
        <v>7</v>
      </c>
      <c r="B24" s="23">
        <f>B23*(1+Assumptions!B39)</f>
        <v>163.10806908887193</v>
      </c>
      <c r="C24" s="70">
        <f t="shared" si="0"/>
        <v>1046.6957053846013</v>
      </c>
    </row>
    <row r="25" spans="1:3" ht="15.75" customHeight="1" x14ac:dyDescent="0.3">
      <c r="A25" s="69">
        <v>8</v>
      </c>
      <c r="B25" s="23">
        <f>B24*(1+Assumptions!B39)</f>
        <v>168.0013111615381</v>
      </c>
      <c r="C25" s="70">
        <f t="shared" si="0"/>
        <v>1214.6970165461394</v>
      </c>
    </row>
    <row r="26" spans="1:3" ht="15.75" customHeight="1" x14ac:dyDescent="0.3">
      <c r="A26" s="69">
        <v>9</v>
      </c>
      <c r="B26" s="23">
        <f>B25*(1+Assumptions!B39)</f>
        <v>173.04135049638424</v>
      </c>
      <c r="C26" s="70">
        <f t="shared" si="0"/>
        <v>1387.7383670425236</v>
      </c>
    </row>
    <row r="27" spans="1:3" ht="15.75" customHeight="1" x14ac:dyDescent="0.3">
      <c r="A27" s="69">
        <v>10</v>
      </c>
      <c r="B27" s="23">
        <f>B26*(1+Assumptions!B39)</f>
        <v>178.23259101127576</v>
      </c>
      <c r="C27" s="70">
        <f t="shared" si="0"/>
        <v>1565.9709580537992</v>
      </c>
    </row>
    <row r="28" spans="1:3" ht="15.75" customHeight="1" x14ac:dyDescent="0.3">
      <c r="A28" s="69">
        <v>11</v>
      </c>
      <c r="B28" s="23">
        <f>B27*(1+Assumptions!B39)</f>
        <v>183.57956874161403</v>
      </c>
      <c r="C28" s="70">
        <f t="shared" si="0"/>
        <v>1749.5505267954131</v>
      </c>
    </row>
    <row r="29" spans="1:3" ht="15.75" customHeight="1" x14ac:dyDescent="0.3">
      <c r="A29" s="69">
        <v>12</v>
      </c>
      <c r="B29" s="23">
        <f>B28*(1+Assumptions!B39)</f>
        <v>189.08695580386245</v>
      </c>
      <c r="C29" s="70">
        <f t="shared" si="0"/>
        <v>1938.6374825992757</v>
      </c>
    </row>
    <row r="30" spans="1:3" ht="15.75" customHeight="1" x14ac:dyDescent="0.3">
      <c r="A30" s="69">
        <v>13</v>
      </c>
      <c r="B30" s="23">
        <f>B29*(1+Assumptions!B39)</f>
        <v>194.75956447797833</v>
      </c>
      <c r="C30" s="70">
        <f t="shared" si="0"/>
        <v>2133.3970470772542</v>
      </c>
    </row>
    <row r="31" spans="1:3" ht="15.75" customHeight="1" x14ac:dyDescent="0.3">
      <c r="A31" s="69">
        <v>14</v>
      </c>
      <c r="B31" s="23">
        <f>B30*(1+Assumptions!B39)</f>
        <v>200.60235141231769</v>
      </c>
      <c r="C31" s="70">
        <f t="shared" si="0"/>
        <v>2333.9993984895718</v>
      </c>
    </row>
    <row r="32" spans="1:3" ht="15.75" customHeight="1" x14ac:dyDescent="0.3">
      <c r="A32" s="69">
        <v>15</v>
      </c>
      <c r="B32" s="23">
        <f>B31*(1+Assumptions!B39)</f>
        <v>206.62042195468723</v>
      </c>
      <c r="C32" s="70">
        <f t="shared" si="0"/>
        <v>2540.6198204442589</v>
      </c>
    </row>
    <row r="33" spans="1:3" ht="15.75" customHeight="1" thickBot="1" x14ac:dyDescent="0.35">
      <c r="A33" s="71" t="s">
        <v>131</v>
      </c>
      <c r="B33" s="72">
        <f>C32/100</f>
        <v>25.406198204442589</v>
      </c>
      <c r="C33" s="73">
        <f>C32</f>
        <v>2540.6198204442589</v>
      </c>
    </row>
    <row r="34" spans="1:3" ht="15.75" customHeight="1" x14ac:dyDescent="0.3"/>
    <row r="35" spans="1:3" ht="15.75" customHeight="1" x14ac:dyDescent="0.3"/>
    <row r="36" spans="1:3" ht="15.75" customHeight="1" x14ac:dyDescent="0.3"/>
    <row r="37" spans="1:3" ht="15.75" customHeight="1" x14ac:dyDescent="0.3"/>
    <row r="38" spans="1:3" ht="15.75" customHeight="1" x14ac:dyDescent="0.3"/>
    <row r="39" spans="1:3" ht="15.75" customHeight="1" x14ac:dyDescent="0.3"/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3:C3"/>
    <mergeCell ref="A1:C1"/>
    <mergeCell ref="A16:C16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showGridLines="0" workbookViewId="0">
      <selection activeCell="Q21" sqref="Q21"/>
    </sheetView>
  </sheetViews>
  <sheetFormatPr defaultColWidth="14.44140625" defaultRowHeight="15" customHeight="1" x14ac:dyDescent="0.3"/>
  <cols>
    <col min="1" max="1" width="35.88671875" bestFit="1" customWidth="1"/>
    <col min="2" max="2" width="13.77734375" bestFit="1" customWidth="1"/>
    <col min="3" max="3" width="11" bestFit="1" customWidth="1"/>
    <col min="4" max="4" width="16.21875" bestFit="1" customWidth="1"/>
    <col min="5" max="5" width="4" customWidth="1"/>
    <col min="6" max="26" width="8.6640625" customWidth="1"/>
  </cols>
  <sheetData>
    <row r="1" spans="1:5" ht="21" x14ac:dyDescent="0.3">
      <c r="A1" s="40" t="s">
        <v>153</v>
      </c>
      <c r="B1" s="41"/>
      <c r="C1" s="41"/>
      <c r="D1" s="41"/>
      <c r="E1" s="42"/>
    </row>
    <row r="3" spans="1:5" ht="26.4" x14ac:dyDescent="0.3">
      <c r="A3" s="12" t="s">
        <v>125</v>
      </c>
      <c r="B3" s="12" t="s">
        <v>154</v>
      </c>
      <c r="C3" s="12" t="s">
        <v>155</v>
      </c>
      <c r="D3" s="12" t="s">
        <v>156</v>
      </c>
      <c r="E3" s="12"/>
    </row>
    <row r="4" spans="1:5" ht="14.4" x14ac:dyDescent="0.3">
      <c r="A4" s="29">
        <v>1</v>
      </c>
      <c r="B4" s="31">
        <f>'On-Prem Cost'!F21</f>
        <v>147.4</v>
      </c>
      <c r="C4" s="31">
        <f>'Cloud Cost'!C18</f>
        <v>136.60044000000002</v>
      </c>
      <c r="D4" s="35">
        <f t="shared" ref="D4:D18" si="0">C4-B4</f>
        <v>-10.799559999999985</v>
      </c>
    </row>
    <row r="5" spans="1:5" ht="14.4" x14ac:dyDescent="0.3">
      <c r="A5" s="29">
        <v>2</v>
      </c>
      <c r="B5" s="31">
        <f>'On-Prem Cost'!F22</f>
        <v>160.80000000000001</v>
      </c>
      <c r="C5" s="31">
        <f>'Cloud Cost'!C19</f>
        <v>277.29889320000007</v>
      </c>
      <c r="D5" s="35">
        <f t="shared" si="0"/>
        <v>116.49889320000005</v>
      </c>
    </row>
    <row r="6" spans="1:5" ht="14.4" x14ac:dyDescent="0.3">
      <c r="A6" s="29">
        <v>3</v>
      </c>
      <c r="B6" s="31">
        <f>'On-Prem Cost'!F23</f>
        <v>174.20000000000002</v>
      </c>
      <c r="C6" s="31">
        <f>'Cloud Cost'!C20</f>
        <v>422.2182999960001</v>
      </c>
      <c r="D6" s="35">
        <f t="shared" si="0"/>
        <v>248.01829999600008</v>
      </c>
    </row>
    <row r="7" spans="1:5" ht="14.4" x14ac:dyDescent="0.3">
      <c r="A7" s="29">
        <v>4</v>
      </c>
      <c r="B7" s="31">
        <f>'On-Prem Cost'!F24</f>
        <v>187.60000000000002</v>
      </c>
      <c r="C7" s="31">
        <f>'Cloud Cost'!C21</f>
        <v>571.48528899588018</v>
      </c>
      <c r="D7" s="35">
        <f t="shared" si="0"/>
        <v>383.88528899588016</v>
      </c>
    </row>
    <row r="8" spans="1:5" ht="14.4" x14ac:dyDescent="0.3">
      <c r="A8" s="29">
        <v>5</v>
      </c>
      <c r="B8" s="31">
        <f>'On-Prem Cost'!F25</f>
        <v>201.00000000000003</v>
      </c>
      <c r="C8" s="31">
        <f>'Cloud Cost'!C22</f>
        <v>725.23028766575658</v>
      </c>
      <c r="D8" s="35">
        <f t="shared" si="0"/>
        <v>524.23028766575658</v>
      </c>
    </row>
    <row r="9" spans="1:5" ht="14.4" x14ac:dyDescent="0.3">
      <c r="A9" s="29">
        <v>6</v>
      </c>
      <c r="B9" s="31">
        <f>'On-Prem Cost'!F26</f>
        <v>214.40000000000003</v>
      </c>
      <c r="C9" s="31">
        <f>'Cloud Cost'!C23</f>
        <v>883.58763629572934</v>
      </c>
      <c r="D9" s="35">
        <f t="shared" si="0"/>
        <v>669.18763629572936</v>
      </c>
    </row>
    <row r="10" spans="1:5" ht="14.4" x14ac:dyDescent="0.3">
      <c r="A10" s="29">
        <v>7</v>
      </c>
      <c r="B10" s="31">
        <f>'On-Prem Cost'!F27</f>
        <v>299.20000000000005</v>
      </c>
      <c r="C10" s="31">
        <f>'Cloud Cost'!C24</f>
        <v>1046.6957053846013</v>
      </c>
      <c r="D10" s="35">
        <f t="shared" si="0"/>
        <v>747.49570538460125</v>
      </c>
    </row>
    <row r="11" spans="1:5" ht="14.4" x14ac:dyDescent="0.3">
      <c r="A11" s="29">
        <v>8</v>
      </c>
      <c r="B11" s="31">
        <f>'On-Prem Cost'!F28</f>
        <v>312.60000000000002</v>
      </c>
      <c r="C11" s="31">
        <f>'Cloud Cost'!C25</f>
        <v>1214.6970165461394</v>
      </c>
      <c r="D11" s="35">
        <f t="shared" si="0"/>
        <v>902.09701654613934</v>
      </c>
    </row>
    <row r="12" spans="1:5" ht="14.4" x14ac:dyDescent="0.3">
      <c r="A12" s="29">
        <v>9</v>
      </c>
      <c r="B12" s="31">
        <f>'On-Prem Cost'!F29</f>
        <v>326</v>
      </c>
      <c r="C12" s="31">
        <f>'Cloud Cost'!C26</f>
        <v>1387.7383670425236</v>
      </c>
      <c r="D12" s="35">
        <f t="shared" si="0"/>
        <v>1061.7383670425236</v>
      </c>
    </row>
    <row r="13" spans="1:5" ht="14.4" x14ac:dyDescent="0.3">
      <c r="A13" s="29">
        <v>10</v>
      </c>
      <c r="B13" s="31">
        <f>'On-Prem Cost'!F30</f>
        <v>339.4</v>
      </c>
      <c r="C13" s="31">
        <f>'Cloud Cost'!C27</f>
        <v>1565.9709580537992</v>
      </c>
      <c r="D13" s="35">
        <f t="shared" si="0"/>
        <v>1226.5709580537991</v>
      </c>
    </row>
    <row r="14" spans="1:5" ht="14.4" x14ac:dyDescent="0.3">
      <c r="A14" s="29">
        <v>11</v>
      </c>
      <c r="B14" s="31">
        <f>'On-Prem Cost'!F31</f>
        <v>352.79999999999995</v>
      </c>
      <c r="C14" s="31">
        <f>'Cloud Cost'!C28</f>
        <v>1749.5505267954131</v>
      </c>
      <c r="D14" s="35">
        <f t="shared" si="0"/>
        <v>1396.7505267954132</v>
      </c>
    </row>
    <row r="15" spans="1:5" ht="14.4" x14ac:dyDescent="0.3">
      <c r="A15" s="29">
        <v>12</v>
      </c>
      <c r="B15" s="31">
        <f>'On-Prem Cost'!F32</f>
        <v>366.19999999999993</v>
      </c>
      <c r="C15" s="31">
        <f>'Cloud Cost'!C29</f>
        <v>1938.6374825992757</v>
      </c>
      <c r="D15" s="35">
        <f t="shared" si="0"/>
        <v>1572.4374825992759</v>
      </c>
    </row>
    <row r="16" spans="1:5" ht="14.4" x14ac:dyDescent="0.3">
      <c r="A16" s="29">
        <v>13</v>
      </c>
      <c r="B16" s="31">
        <f>'On-Prem Cost'!F33</f>
        <v>450.99999999999994</v>
      </c>
      <c r="C16" s="31">
        <f>'Cloud Cost'!C30</f>
        <v>2133.3970470772542</v>
      </c>
      <c r="D16" s="35">
        <f t="shared" si="0"/>
        <v>1682.3970470772542</v>
      </c>
    </row>
    <row r="17" spans="1:4" ht="14.4" x14ac:dyDescent="0.3">
      <c r="A17" s="29">
        <v>14</v>
      </c>
      <c r="B17" s="31">
        <f>'On-Prem Cost'!F34</f>
        <v>464.39999999999992</v>
      </c>
      <c r="C17" s="31">
        <f>'Cloud Cost'!C31</f>
        <v>2333.9993984895718</v>
      </c>
      <c r="D17" s="35">
        <f t="shared" si="0"/>
        <v>1869.599398489572</v>
      </c>
    </row>
    <row r="18" spans="1:4" ht="14.4" x14ac:dyDescent="0.3">
      <c r="A18" s="29">
        <v>15</v>
      </c>
      <c r="B18" s="31">
        <f>'On-Prem Cost'!F35</f>
        <v>477.7999999999999</v>
      </c>
      <c r="C18" s="31">
        <f>'Cloud Cost'!C32</f>
        <v>2540.6198204442589</v>
      </c>
      <c r="D18" s="35">
        <f t="shared" si="0"/>
        <v>2062.8198204442592</v>
      </c>
    </row>
    <row r="20" spans="1:4" ht="14.4" x14ac:dyDescent="0.3">
      <c r="A20" s="34" t="s">
        <v>157</v>
      </c>
      <c r="B20" s="36">
        <f t="array" ref="B20">MATCH(TRUE(),INDEX(B4:B18&lt;C4:C18,0),0)</f>
        <v>2</v>
      </c>
    </row>
    <row r="21" spans="1:4" ht="15.75" customHeight="1" x14ac:dyDescent="0.3">
      <c r="A21" s="34" t="s">
        <v>158</v>
      </c>
      <c r="B21" s="37">
        <f>D18/100</f>
        <v>20.628198204442594</v>
      </c>
    </row>
    <row r="22" spans="1:4" ht="15.75" customHeight="1" x14ac:dyDescent="0.3"/>
    <row r="23" spans="1:4" ht="15.75" customHeight="1" x14ac:dyDescent="0.3">
      <c r="A23" s="43" t="s">
        <v>159</v>
      </c>
      <c r="B23" s="41"/>
      <c r="C23" s="41"/>
      <c r="D23" s="42"/>
    </row>
    <row r="24" spans="1:4" ht="15.75" customHeight="1" x14ac:dyDescent="0.3">
      <c r="A24" s="5" t="s">
        <v>160</v>
      </c>
      <c r="B24" s="38" t="s">
        <v>161</v>
      </c>
    </row>
    <row r="25" spans="1:4" ht="15.75" customHeight="1" x14ac:dyDescent="0.3">
      <c r="A25" s="5" t="s">
        <v>162</v>
      </c>
      <c r="B25" s="39">
        <f>( ('Resource Model'!B14-('Resource Model'!E7*'Resource Model'!H7)-('Resource Model'!E9*'Resource Model'!H9))*Assumptions!B26*Assumptions!B34+('Resource Model'!E7*'Resource Model'!H7)*Assumptions!B27*Assumptions!B34+('Resource Model'!G9*'Resource Model'!H9)*Assumptions!B28*0.5+Assumptions!B31*(Assumptions!B7/Assumptions!B5)*1024*Assumptions!B30 )*Assumptions!B35/100000</f>
        <v>1.3201350000000001</v>
      </c>
    </row>
    <row r="26" spans="1:4" ht="15.75" customHeight="1" x14ac:dyDescent="0.3">
      <c r="A26" s="46" t="s">
        <v>163</v>
      </c>
      <c r="B26" s="45"/>
      <c r="C26" s="45"/>
      <c r="D26" s="45"/>
    </row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E1"/>
    <mergeCell ref="A23:D23"/>
    <mergeCell ref="A26:D26"/>
  </mergeCells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Assumptions</vt:lpstr>
      <vt:lpstr>Resource Model</vt:lpstr>
      <vt:lpstr>On-Prem Cost</vt:lpstr>
      <vt:lpstr>Cloud Cost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DUA-95257</cp:lastModifiedBy>
  <dcterms:modified xsi:type="dcterms:W3CDTF">2026-07-03T08:02:32Z</dcterms:modified>
</cp:coreProperties>
</file>